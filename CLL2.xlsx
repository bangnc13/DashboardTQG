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mc:AlternateContent xmlns:mc="http://schemas.openxmlformats.org/markup-compatibility/2006">
    <mc:Choice Requires="x15">
      <x15ac:absPath xmlns:x15ac="http://schemas.microsoft.com/office/spreadsheetml/2010/11/ac" url="C:\Users\fpt\OneDrive\Desktop\"/>
    </mc:Choice>
  </mc:AlternateContent>
  <xr:revisionPtr revIDLastSave="0" documentId="13_ncr:1_{90ADDF46-6F8E-408C-9EE9-AFD8E5CB725F}" xr6:coauthVersionLast="45" xr6:coauthVersionMax="45" xr10:uidLastSave="{00000000-0000-0000-0000-000000000000}"/>
  <bookViews>
    <workbookView xWindow="-120" yWindow="-120" windowWidth="29040" windowHeight="15720" activeTab="1" xr2:uid="{00000000-000D-0000-FFFF-FFFF00000000}"/>
  </bookViews>
  <sheets>
    <sheet name="BT" sheetId="2" r:id="rId1"/>
    <sheet name="TK" sheetId="5" r:id="rId2"/>
    <sheet name="Sheet1" sheetId="3" state="hidden" r:id="rId3"/>
  </sheets>
  <definedNames>
    <definedName name="_xlnm._FilterDatabase" localSheetId="0" hidden="1">BT!$A$1:$AN$87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W3" i="5" l="1"/>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2" i="5"/>
  <c r="AN15" i="2" l="1"/>
  <c r="AN16" i="2"/>
  <c r="AN17" i="2"/>
  <c r="AN18" i="2"/>
  <c r="AN19" i="2"/>
  <c r="AN20" i="2"/>
  <c r="AN40" i="2"/>
  <c r="AN41" i="2"/>
  <c r="AN42" i="2"/>
  <c r="AN43" i="2"/>
  <c r="AN44" i="2"/>
  <c r="AN45" i="2"/>
  <c r="AN46" i="2"/>
  <c r="AN83" i="2"/>
  <c r="AN84" i="2"/>
  <c r="AN2" i="2"/>
  <c r="AN21" i="2"/>
  <c r="AN28" i="2"/>
  <c r="AN29" i="2"/>
  <c r="AN22" i="2"/>
  <c r="AN23" i="2"/>
  <c r="AN24" i="2"/>
  <c r="AN25" i="2"/>
  <c r="AN69" i="2"/>
  <c r="AN70" i="2"/>
  <c r="AN71" i="2"/>
  <c r="AN30" i="2"/>
  <c r="AN85" i="2"/>
  <c r="AN86" i="2"/>
  <c r="AN87" i="2"/>
  <c r="AN47" i="2"/>
  <c r="AN58" i="2"/>
  <c r="AN59" i="2"/>
  <c r="AN3" i="2"/>
  <c r="AN60" i="2"/>
  <c r="AN61" i="2"/>
  <c r="AN62" i="2"/>
  <c r="AN63" i="2"/>
  <c r="AN64" i="2"/>
  <c r="AN65" i="2"/>
  <c r="AN66" i="2"/>
  <c r="AN26" i="2"/>
  <c r="AN67" i="2"/>
  <c r="AN68" i="2"/>
  <c r="AN4" i="2"/>
  <c r="AN5" i="2"/>
  <c r="AN72" i="2"/>
  <c r="AN31" i="2"/>
  <c r="AN32" i="2"/>
  <c r="AN33" i="2"/>
  <c r="AN34" i="2"/>
  <c r="AN35" i="2"/>
  <c r="AN36" i="2"/>
  <c r="AN37" i="2"/>
  <c r="AN38" i="2"/>
  <c r="AN39" i="2"/>
  <c r="AN27" i="2"/>
  <c r="AN48" i="2"/>
  <c r="AN49" i="2"/>
  <c r="AN50" i="2"/>
  <c r="AN51" i="2"/>
  <c r="AN52" i="2"/>
  <c r="AN53" i="2"/>
  <c r="AN54" i="2"/>
  <c r="AN55" i="2"/>
  <c r="AN56" i="2"/>
  <c r="AN57" i="2"/>
  <c r="AN6" i="2"/>
  <c r="AN7" i="2"/>
  <c r="AN8" i="2"/>
  <c r="AN9" i="2"/>
  <c r="AN10" i="2"/>
  <c r="AN11" i="2"/>
  <c r="AN12" i="2"/>
  <c r="AN13" i="2"/>
  <c r="AN73" i="2"/>
  <c r="AN74" i="2"/>
  <c r="AN75" i="2"/>
  <c r="AN76" i="2"/>
  <c r="AN77" i="2"/>
  <c r="AN78" i="2"/>
  <c r="AN79" i="2"/>
  <c r="AN80" i="2"/>
  <c r="AN81" i="2"/>
  <c r="AN82" i="2"/>
  <c r="AN14" i="2"/>
  <c r="AL62" i="2" l="1"/>
  <c r="AL6" i="2"/>
  <c r="AL2" i="2"/>
  <c r="AL7" i="2"/>
  <c r="AL14" i="2"/>
  <c r="AL83" i="2"/>
  <c r="AL15" i="2"/>
  <c r="AL31" i="2"/>
  <c r="AL53" i="2"/>
  <c r="AL63" i="2"/>
  <c r="AL8" i="2"/>
  <c r="AL64" i="2"/>
  <c r="AL75" i="2"/>
  <c r="AL9" i="2"/>
  <c r="AL58" i="2"/>
  <c r="AL76" i="2"/>
  <c r="AL59" i="2"/>
  <c r="AL40" i="2"/>
  <c r="AL72" i="2"/>
  <c r="AL73" i="2"/>
  <c r="AL85" i="2"/>
  <c r="AL48" i="2"/>
  <c r="AL86" i="2"/>
  <c r="AL4" i="2"/>
  <c r="AL60" i="2"/>
  <c r="AL41" i="2"/>
  <c r="AL3" i="2"/>
  <c r="AL87" i="2"/>
  <c r="AL54" i="2"/>
  <c r="AL42" i="2"/>
  <c r="AL65" i="2"/>
  <c r="AL55" i="2"/>
  <c r="AL69" i="2"/>
  <c r="AL10" i="2"/>
  <c r="AL32" i="2"/>
  <c r="AL43" i="2"/>
  <c r="AL61" i="2"/>
  <c r="AL11" i="2"/>
  <c r="AL49" i="2"/>
  <c r="AL33" i="2"/>
  <c r="AL34" i="2"/>
  <c r="AL35" i="2"/>
  <c r="AL44" i="2"/>
  <c r="AL67" i="2"/>
  <c r="AL45" i="2"/>
  <c r="AL12" i="2"/>
  <c r="AL68" i="2"/>
  <c r="AL28" i="2"/>
  <c r="AL16" i="2"/>
  <c r="AL84" i="2"/>
  <c r="AL17" i="2"/>
  <c r="AL66" i="2"/>
  <c r="AL56" i="2"/>
  <c r="AL50" i="2"/>
  <c r="AL22" i="2"/>
  <c r="AL26" i="2"/>
  <c r="AL51" i="2"/>
  <c r="AL23" i="2"/>
  <c r="AL77" i="2"/>
  <c r="AL27" i="2"/>
  <c r="AL78" i="2"/>
  <c r="AL18" i="2"/>
  <c r="AL79" i="2"/>
  <c r="AL5" i="2"/>
  <c r="AL47" i="2"/>
  <c r="AL36" i="2"/>
  <c r="AL24" i="2"/>
  <c r="AL37" i="2"/>
  <c r="AL13" i="2"/>
  <c r="AL57" i="2"/>
  <c r="AL19" i="2"/>
  <c r="AL74" i="2"/>
  <c r="AL80" i="2"/>
  <c r="AL81" i="2"/>
  <c r="AL20" i="2"/>
  <c r="AL52" i="2"/>
  <c r="AL82" i="2"/>
  <c r="AL30" i="2"/>
  <c r="AL38" i="2"/>
  <c r="AL21" i="2"/>
  <c r="AL39" i="2"/>
  <c r="AL46" i="2"/>
  <c r="AL25" i="2"/>
  <c r="AL70" i="2"/>
  <c r="AL71" i="2"/>
  <c r="AL29" i="2"/>
</calcChain>
</file>

<file path=xl/sharedStrings.xml><?xml version="1.0" encoding="utf-8"?>
<sst xmlns="http://schemas.openxmlformats.org/spreadsheetml/2006/main" count="3650" uniqueCount="1341">
  <si>
    <t>STT</t>
  </si>
  <si>
    <t>Vùng</t>
  </si>
  <si>
    <t>Tỉnh thành</t>
  </si>
  <si>
    <t>Đói tác</t>
  </si>
  <si>
    <t>Block</t>
  </si>
  <si>
    <t>Số HĐ</t>
  </si>
  <si>
    <t>Tên đầy đủ</t>
  </si>
  <si>
    <t>Thời gian tạo</t>
  </si>
  <si>
    <t>Tồn giờ</t>
  </si>
  <si>
    <t>Hạn còn lại</t>
  </si>
  <si>
    <t>Ngày hẹn Xanh</t>
  </si>
  <si>
    <t>Ngày hẹn đỏ</t>
  </si>
  <si>
    <t>Múi hẹn xanh</t>
  </si>
  <si>
    <t>Múi hẹn đỏ</t>
  </si>
  <si>
    <t>Số lần hẹn</t>
  </si>
  <si>
    <t>CL Lặp</t>
  </si>
  <si>
    <t>Loại checklist</t>
  </si>
  <si>
    <t>Nguồn tạo</t>
  </si>
  <si>
    <t>Nhân sự</t>
  </si>
  <si>
    <t>TTCL</t>
  </si>
  <si>
    <t>TsTc</t>
  </si>
  <si>
    <t>KH Giục Tiến Độ</t>
  </si>
  <si>
    <t>Ghi Chú CC</t>
  </si>
  <si>
    <t>Ghi Chú KTV Gần Nhất</t>
  </si>
  <si>
    <t>Gói dịch vụ</t>
  </si>
  <si>
    <t>Loại DV</t>
  </si>
  <si>
    <t>Độ Ưu Tiên</t>
  </si>
  <si>
    <t>Dịch vụ 1</t>
  </si>
  <si>
    <t>TTSCBĐ 1</t>
  </si>
  <si>
    <t>Dịch vụ 2</t>
  </si>
  <si>
    <t>TTSCBĐ 2</t>
  </si>
  <si>
    <t>Dịch vụ 3</t>
  </si>
  <si>
    <t>TTSCBĐ 3</t>
  </si>
  <si>
    <t>Dịch vụ 4</t>
  </si>
  <si>
    <t>TTSCBĐ 4</t>
  </si>
  <si>
    <t>Dịch vụ 5</t>
  </si>
  <si>
    <t>TTSCBĐ 5</t>
  </si>
  <si>
    <t>Tây Bắc Bộ</t>
  </si>
  <si>
    <t>Tuyên Quang</t>
  </si>
  <si>
    <t>TQTo TIN</t>
  </si>
  <si>
    <t>Xa Yen Son-001</t>
  </si>
  <si>
    <t>TQFD22274</t>
  </si>
  <si>
    <t>PHẠM XUÂN KHÁNH</t>
  </si>
  <si>
    <t>16/09/2026 09:30:16</t>
  </si>
  <si>
    <t>18/09/2026</t>
  </si>
  <si>
    <t>15:30 - 17:30</t>
  </si>
  <si>
    <t>Thường</t>
  </si>
  <si>
    <t>SR-HTKT</t>
  </si>
  <si>
    <t>TQGTI.TUNGDT4</t>
  </si>
  <si>
    <t>Đang XL</t>
  </si>
  <si>
    <t>TQGP008.0076/HO-5/5-G</t>
  </si>
  <si>
    <t>0856593327  kh báo mạng chập chờn, suy hao cao, nhờ kt hỗ trợ</t>
  </si>
  <si>
    <t xml:space="preserve">
&gt;&gt; TQGTI.TUNGDT4 18/09/2026 17:20:07: kh bao van xu dung bt , duong day lh di theo day trung the qua duong quoc lo kt kothe ha suy hao nua . kh bao van dung ok</t>
  </si>
  <si>
    <t>Giga</t>
  </si>
  <si>
    <t>Internet</t>
  </si>
  <si>
    <t>Support</t>
  </si>
  <si>
    <t xml:space="preserve">Có tín hiệu quang nhưng không ổn định / suy hao không đạt chuẩn </t>
  </si>
  <si>
    <t>Xa Dong Tho-001</t>
  </si>
  <si>
    <t>TQAAC9017</t>
  </si>
  <si>
    <t>Vũ Đình Khải</t>
  </si>
  <si>
    <t>17/09/2026 08:56:48</t>
  </si>
  <si>
    <t>Tao tu MO</t>
  </si>
  <si>
    <t>TQGTI.HIEUNV38</t>
  </si>
  <si>
    <t>TQGP030.0094/HO-2/2-G</t>
  </si>
  <si>
    <t>TQAAC9017 - 0966707732 - Số chính chủ: kh bao remote box TH lỗi, ktv thay nhưng giờ sd vẫn lỗi, kh muon hủy hd, nhờ ktv hỗ trợ thay lai thiêt bị</t>
  </si>
  <si>
    <t xml:space="preserve">
&gt;&gt; TQGTI.HIEUNV38 18/09/2026 11:32:01: chưa có box thay</t>
  </si>
  <si>
    <t>Sky</t>
  </si>
  <si>
    <t>FPT Play</t>
  </si>
  <si>
    <t>Lỗi kết nối BOX và TV (TV không nhận tín hiệu từ Box)</t>
  </si>
  <si>
    <t>Phuong My Lam-001</t>
  </si>
  <si>
    <t>TQAAE7703</t>
  </si>
  <si>
    <t>Lò Thị Ngăn</t>
  </si>
  <si>
    <t>20/09/2026 21:27:28</t>
  </si>
  <si>
    <t>24/09/2026</t>
  </si>
  <si>
    <t>10:00 - 12:00</t>
  </si>
  <si>
    <t>TQGTI.THANHNV41</t>
  </si>
  <si>
    <t>Đã nhận ca</t>
  </si>
  <si>
    <t>TQGP014.0196/HO-3/3-G</t>
  </si>
  <si>
    <t>TQAAE7703 - 0392522890 - Kênh tiếp nhận: live-chat - Sender ID: 6aafecf4a470e - SĐT KH cung cấp: Không ghi nhận - Báo hỏng dịch vụ</t>
  </si>
  <si>
    <t>SOS</t>
  </si>
  <si>
    <t>Không truy cập được một số dịch vụ hoặc website</t>
  </si>
  <si>
    <t>Xa Nhu Khe-001</t>
  </si>
  <si>
    <t>TQFD00989</t>
  </si>
  <si>
    <t>Nguyen Huu Phuoc</t>
  </si>
  <si>
    <t>20/09/2026 21:49:01</t>
  </si>
  <si>
    <t>21/09/2026</t>
  </si>
  <si>
    <t>SR - Omni (HiFPT)</t>
  </si>
  <si>
    <t>TQGTI.CAONB</t>
  </si>
  <si>
    <t>TQGP005.0041/HO-5/5-G</t>
  </si>
  <si>
    <t xml:space="preserve">TQFD00989 - 0853241298 - Nguyen Huu Phuoc: Khách hàng báo không xem được truyền hình, chat OB. Nhờ KT qua kiểm tra giúp </t>
  </si>
  <si>
    <t xml:space="preserve">
&gt;&gt; TQGTI.CAONB 21/09/2026 15:27:31: khách hàng phản ánh xem ngoại hạng anh bị giật đứng hình, đầu box có kết nối qua ap phụ của kh, kĩ thuật đã bấm lại rj45 kết nối trực tiếp với md chính cho kh, rs lại box. tại thời điểm kta truyền hình đã xem bth ko giật lag</t>
  </si>
  <si>
    <t>Có IP WAN, không truy cập được</t>
  </si>
  <si>
    <t>TQFD13770</t>
  </si>
  <si>
    <t>NGUYỄN TIẾN QUẢNG</t>
  </si>
  <si>
    <t>21/09/2026 15:31:48</t>
  </si>
  <si>
    <t>23/09/2026</t>
  </si>
  <si>
    <t>08:00 - 10:00</t>
  </si>
  <si>
    <t>TQGP014.0027/HO-1/1-G</t>
  </si>
  <si>
    <t>TQFD13770 - 0395372127 - Kênh tiếp nhận: live-chat - Sender ID: 6ab0e79c3cdfe - SĐT KH cung cấp: Không ghi nhận - Báo hỏng dịch vụ</t>
  </si>
  <si>
    <t>TQAAC6846</t>
  </si>
  <si>
    <t>TRƯƠNG THỊ TỴ</t>
  </si>
  <si>
    <t>21/09/2026 06:26:08</t>
  </si>
  <si>
    <t>TQGTI.ANHPH3</t>
  </si>
  <si>
    <t>TQGP013.0192/HO-6/6-G</t>
  </si>
  <si>
    <t>Mạng chập chờn, không truy cập được</t>
  </si>
  <si>
    <t>Truy cập mạng chậm hoặc chập chờn</t>
  </si>
  <si>
    <t>Xa Hung Duc-001</t>
  </si>
  <si>
    <t>TQAAC0454</t>
  </si>
  <si>
    <t>TRẦN VĂN BÍCH</t>
  </si>
  <si>
    <t>22/09/2026 13:43:47</t>
  </si>
  <si>
    <t>TQGTI.BINHTH1</t>
  </si>
  <si>
    <t>Đã XL-Đang TD</t>
  </si>
  <si>
    <t>TQGP024.0219/HO-4/4-G</t>
  </si>
  <si>
    <t>0338629504 kh báo mất kết nối , bức xúc do trc đó k biết báo ai, nhờ kt hỗ trợ sớm</t>
  </si>
  <si>
    <t>Không có tín hiệu quang (mkn)</t>
  </si>
  <si>
    <t>TQAAE4800</t>
  </si>
  <si>
    <t>Hoàng Văn Tiến</t>
  </si>
  <si>
    <t>23/09/2026 11:10:12</t>
  </si>
  <si>
    <t>TQGP013.0233/HO-4/4-G</t>
  </si>
  <si>
    <t>TQAAE4800 - 0326192565 - Kênh tiếp nhận: live-chat - Sender ID: 6ab350e23b716 - SĐT KH cung cấp: 0326192565 - [Missedcall_notiHiFPT] Báo hỏng dịch vụ</t>
  </si>
  <si>
    <t xml:space="preserve">
&gt;&gt; TQGTI.ANHPH3 23/09/2026 17:30:20: chua xly kip</t>
  </si>
  <si>
    <t>Xa Chiem Hoa-001</t>
  </si>
  <si>
    <t>TQAAC8160</t>
  </si>
  <si>
    <t>CHU VĂN LƯƠNG</t>
  </si>
  <si>
    <t>23/09/2026 13:50:45</t>
  </si>
  <si>
    <t>25/09/2026</t>
  </si>
  <si>
    <t>TQGTI.TIENVT3</t>
  </si>
  <si>
    <t>TQGP033.0381/HO-5/5-G</t>
  </si>
  <si>
    <t>TQAAC8160 - 0349716782 - Kênh tiếp nhận: live-chat - Sender ID: 6ab3767e8d3a5 - SĐT KH cung cấp: Không ghi nhận - Báo hỏng dịch vụ</t>
  </si>
  <si>
    <t>TQAAE1876</t>
  </si>
  <si>
    <t>NỊNH VĂN THƯỢNG</t>
  </si>
  <si>
    <t>23/09/2026 20:05:45</t>
  </si>
  <si>
    <t>13:30 - 15:30</t>
  </si>
  <si>
    <t>TQGTI.NGHIANV6</t>
  </si>
  <si>
    <t>TQGP032.0453/HO-2/2-G</t>
  </si>
  <si>
    <t>TQAAE1876 - 0347637834 - Kênh tiếp nhận: live-chat - Sender ID: 6ab3ce466d87d - SĐT KH cung cấp: 0357662549 - Báo hỏng dịch vụ</t>
  </si>
  <si>
    <t>Xa Phu Luong-001</t>
  </si>
  <si>
    <t>TQAAC8944</t>
  </si>
  <si>
    <t>BÙI THANH TÙNG</t>
  </si>
  <si>
    <t>23/09/2026 09:11:32</t>
  </si>
  <si>
    <t>TQGTI.QUYETNT1</t>
  </si>
  <si>
    <t>TQGP032.0160/HO-3/3-G</t>
  </si>
  <si>
    <t>0983126725 kh báo mạng cc</t>
  </si>
  <si>
    <t>KH yêu cầu di chuyển Modem</t>
  </si>
  <si>
    <t>TQFD15425</t>
  </si>
  <si>
    <t>VI VĂN QUANG</t>
  </si>
  <si>
    <t>23/09/2026 18:51:08</t>
  </si>
  <si>
    <t>SR - Omni</t>
  </si>
  <si>
    <t>TQGP021.0116/HO-9/9-</t>
  </si>
  <si>
    <t>TQFD15425 - 0966467769 - Chd:</t>
  </si>
  <si>
    <t>Xa Ham Yen-001</t>
  </si>
  <si>
    <t>TQAAC6838</t>
  </si>
  <si>
    <t>ĐỖ VĂN THẮNG</t>
  </si>
  <si>
    <t>24/09/2026 06:20:41</t>
  </si>
  <si>
    <t>TQGTI.CAOTT</t>
  </si>
  <si>
    <t>TQGP029.0456/HO-1/1-G</t>
  </si>
  <si>
    <t>TQAAC6838 - 0354998185 - DO VAN THANG:KH báo mất tín hiệu, tình trạng Enable- Offline- LOSi,đèn los báo đỏ, tắt bật lại modem, NOK, nhờ KT care</t>
  </si>
  <si>
    <t>TQAAB2673</t>
  </si>
  <si>
    <t>TRẦN THỊ THƯỜNG</t>
  </si>
  <si>
    <t>23/09/2026 15:28:25</t>
  </si>
  <si>
    <t>Đã PC</t>
  </si>
  <si>
    <t>TQGP013.0220/HO-7/7-G</t>
  </si>
  <si>
    <t>0868078228 KH cần cài đặt lại box. nhờ kt kiểm tra và thu luôn giúp cus tiền cước 1tr320 6T</t>
  </si>
  <si>
    <t>KH báo mất Modem</t>
  </si>
  <si>
    <t>TQAAE0435</t>
  </si>
  <si>
    <t>Lý Văn Đông</t>
  </si>
  <si>
    <t>18/09/2026 12:24:07</t>
  </si>
  <si>
    <t>TQGTI.HUNGCV4</t>
  </si>
  <si>
    <t>TQGP037.0198/HO-3/3-G</t>
  </si>
  <si>
    <t>KH báo mất mangjk</t>
  </si>
  <si>
    <t>TQAAA6929</t>
  </si>
  <si>
    <t>TRẦN VĂN ĐỨC</t>
  </si>
  <si>
    <t>23/09/2026 14:32:00</t>
  </si>
  <si>
    <t>SR - HiFPT</t>
  </si>
  <si>
    <t>TQGP017.0196/HO-6/6-G</t>
  </si>
  <si>
    <t>Checklist app hifpt/ Mạng chập chờn, không truy cập được/ liên hệ số 0346253654</t>
  </si>
  <si>
    <t>Phuong Minh Xuan-001</t>
  </si>
  <si>
    <t>TQAAF1512</t>
  </si>
  <si>
    <t>Triệu Thị Thuỳ Hậu</t>
  </si>
  <si>
    <t>23/09/2026 07:56:09</t>
  </si>
  <si>
    <t>TQGTI.TUANQD</t>
  </si>
  <si>
    <t>TQGP009.0372/HO-3/3-G</t>
  </si>
  <si>
    <t>Checklist app hifpt/ / liên hệ số 0972634204</t>
  </si>
  <si>
    <t xml:space="preserve">
&gt;&gt; TQGTI.TUANQD 23/09/2026 17:16:59: mưa chưa xl đk hẹn lai</t>
  </si>
  <si>
    <t>TQAAC8520</t>
  </si>
  <si>
    <t>NỊNH THỊ CHUYÊN</t>
  </si>
  <si>
    <t>23/09/2026 21:42:13</t>
  </si>
  <si>
    <t>TQGTI.LUCMDC</t>
  </si>
  <si>
    <t>TQGP024.0340/HO-1/1-G</t>
  </si>
  <si>
    <t>TQAAC8520 - 0386392482 - NỊNH THỊ CHUYÊN:  Kh báo qua Hifpt Lỗi Internet, có ipwan, ONU Temp/TX/RX :47.81/ 2.27/ -16.09 . Liên hệ KH kbm, chat OB cho kh. Nhờ KTV hỗ trợ xử lí giúp KH .</t>
  </si>
  <si>
    <t>Xa Son Duong-002</t>
  </si>
  <si>
    <t>TQAAB1898</t>
  </si>
  <si>
    <t>Dùng Văn Thọ</t>
  </si>
  <si>
    <t>23/09/2026 17:36:50</t>
  </si>
  <si>
    <t>TQGTI.GIANGLV2</t>
  </si>
  <si>
    <t>TQGP021.0125/HO-10/10-G</t>
  </si>
  <si>
    <t>Kh muốn mua điều khiển nhờ KT hỗ trợ</t>
  </si>
  <si>
    <t xml:space="preserve">
&gt;&gt; TQG.HangVTT12 24/09/2026 09:34:14: nhờ KT thu luôn tiền cước cho KH giúp</t>
  </si>
  <si>
    <t>KH cần thay/ lắp đặt/ cài đặt thiết bị modem, AP, Box, Camera</t>
  </si>
  <si>
    <t>TQAAB5833</t>
  </si>
  <si>
    <t>NGUYỄN VĂN SƠN</t>
  </si>
  <si>
    <t>24/09/2026 10:26:49</t>
  </si>
  <si>
    <t>TQGP021.0161/HO-2/2-G</t>
  </si>
  <si>
    <t>0394521183 KH báo đứt dây mkn nhờ KT qua kiểm tra</t>
  </si>
  <si>
    <t>KH yêu cầu di chuyển dây thuê bao (lastmile)</t>
  </si>
  <si>
    <t>TQAAA8106</t>
  </si>
  <si>
    <t>NGUYỄN THỊ HUỆ</t>
  </si>
  <si>
    <t>23/09/2026 20:23:37</t>
  </si>
  <si>
    <t>TQGTI.BINHLV6</t>
  </si>
  <si>
    <t>TQGP026.0127/HO-6/6-G</t>
  </si>
  <si>
    <t>TQAAA8106 - 0366717232 - NGUYỄN THỊ HUỆ:</t>
  </si>
  <si>
    <t>TQFD22905</t>
  </si>
  <si>
    <t>NGUYỄN MẠNH HÙNG</t>
  </si>
  <si>
    <t>21/09/2026 00:12:59</t>
  </si>
  <si>
    <t>TQGP024.0046/HO-5/5-G</t>
  </si>
  <si>
    <t>TQFD22905 - 0989941258 - NGUYỄN MẠNH HÙNG: -19.51 KH báo Lỗi Camera, k xem đc. k call KH. TDV nt ob nok. Nhờ KT qua htro giúp ạ</t>
  </si>
  <si>
    <t xml:space="preserve">
&gt;&gt; TQGTI.LUCMDC 23/09/2026 16:09:11: khách hàng tự cài đặt ,khôi phục về cài đặt gốc sử dụng bình thường</t>
  </si>
  <si>
    <t>FPT Camera Combo</t>
  </si>
  <si>
    <t>[CMR] KH xem camera báo ngoại tuyến (CMR ngoại tuyến)</t>
  </si>
  <si>
    <t>TQAAE0541</t>
  </si>
  <si>
    <t>Ma Công Vệ</t>
  </si>
  <si>
    <t>21/09/2026 15:06:01</t>
  </si>
  <si>
    <t>TQGP037.0190/HO-1/1-G</t>
  </si>
  <si>
    <t>0342002622 kh báo đứt dây</t>
  </si>
  <si>
    <t>TQFD08716</t>
  </si>
  <si>
    <t>TRẦN THỊ THÚY</t>
  </si>
  <si>
    <t>23/09/2026 17:28:51</t>
  </si>
  <si>
    <t>TQGTI.NAMVD2</t>
  </si>
  <si>
    <t>TQGP004.0215/HO-8/8-G</t>
  </si>
  <si>
    <t>0346562669 KH báo mkn mạng, nhờ KT xử lý</t>
  </si>
  <si>
    <t>TQGTI.THANHNV8</t>
  </si>
  <si>
    <t>Truyền hình không xem được tất cả kênh</t>
  </si>
  <si>
    <t>TQAAF1804</t>
  </si>
  <si>
    <t>Hà Văn Sâm</t>
  </si>
  <si>
    <t>23/09/2026 16:38:31</t>
  </si>
  <si>
    <t>TQGP008.0023/HO-16/16-G</t>
  </si>
  <si>
    <t xml:space="preserve">TQAAF1804 - 0947249259 - Hà Văn Sâm: kh báo không xem lại đc camera, hình ảnh camera bị mờ, nhờ ktv qua hỗ trợ  </t>
  </si>
  <si>
    <t>[CMR] Hình ảnh bị giật, xé hình, nhòe màu, chất lượng hình ảnh kém</t>
  </si>
  <si>
    <t>TQGTI.DANGNV</t>
  </si>
  <si>
    <t>TQGTI.QUANHV1</t>
  </si>
  <si>
    <t>TQAAC6416</t>
  </si>
  <si>
    <t>PHÙNG HOÀI THU</t>
  </si>
  <si>
    <t>23/09/2026 21:48:30</t>
  </si>
  <si>
    <t>TQGTI.KHANHLQ1</t>
  </si>
  <si>
    <t>TQGP016.0200/HO-4/4-G</t>
  </si>
  <si>
    <t>ko báo khi có người</t>
  </si>
  <si>
    <t>Xa Son Duong-001</t>
  </si>
  <si>
    <t>TQFD11069</t>
  </si>
  <si>
    <t>NGUYỄN THÀNH TRUNG</t>
  </si>
  <si>
    <t>24/09/2026 10:24:45</t>
  </si>
  <si>
    <t>TQGTI.HANHPB</t>
  </si>
  <si>
    <t>TQGP011.0135/HO-1/1-G</t>
  </si>
  <si>
    <t>0395129786 kh báo k xem đc TH nhờ KT hỗ trợ</t>
  </si>
  <si>
    <t>Truyền hình không xem được một vài kênh</t>
  </si>
  <si>
    <t>TQAAA3859</t>
  </si>
  <si>
    <t>LIỄU THỊ HÀ</t>
  </si>
  <si>
    <t>23/09/2026 20:15:04</t>
  </si>
  <si>
    <t>TQGP027.0119/HO-2/2-G</t>
  </si>
  <si>
    <t>TQAAA3859 - 0378457751 - LIỄU THỊ HÀ:</t>
  </si>
  <si>
    <t>Phuong An Tuong-001</t>
  </si>
  <si>
    <t>TQAAC7974</t>
  </si>
  <si>
    <t>HÀ VĂN TUY</t>
  </si>
  <si>
    <t>23/09/2026 15:51:04</t>
  </si>
  <si>
    <t>TQGTI.GIANGVH2</t>
  </si>
  <si>
    <t>TQGP005.0141/HO-3/3-G</t>
  </si>
  <si>
    <t xml:space="preserve">Mini app -- </t>
  </si>
  <si>
    <t xml:space="preserve">
&gt;&gt; TQGTI.GIANGVH2 23/09/2026 17:08:02: hẹn lại</t>
  </si>
  <si>
    <t>TQFD23415</t>
  </si>
  <si>
    <t>PHẠM XUÂN HOÀN</t>
  </si>
  <si>
    <t>23/09/2026 13:39:00</t>
  </si>
  <si>
    <t>TQGP006.0245/HO-4/4-G</t>
  </si>
  <si>
    <t>0376038881 kh báo MTh k truy cập đc nhờ KT hỗ trợ</t>
  </si>
  <si>
    <t>TQAAB9349</t>
  </si>
  <si>
    <t>NGUYỄN MINH HIỀN</t>
  </si>
  <si>
    <t>23/09/2026 17:36:56</t>
  </si>
  <si>
    <t>TQGP031.0167/HO-5/5-G</t>
  </si>
  <si>
    <t>Kh báo mkn</t>
  </si>
  <si>
    <t>TQAAC7840</t>
  </si>
  <si>
    <t>PHẠM ĐÌNH CHI</t>
  </si>
  <si>
    <t>23/09/2026 07:30:30</t>
  </si>
  <si>
    <t>TQGP008.0248/HO-7/7-G</t>
  </si>
  <si>
    <t>TQAAC7840 - 0963212839 - Kênh tiếp nhận: live-chat - Sender ID: 6ab31d5b87743 - SĐT KH cung cấp: Không ghi nhận - Báo hỏng dịch vụ</t>
  </si>
  <si>
    <t>TQAAB6047</t>
  </si>
  <si>
    <t>NGUYỄN VĂN LA</t>
  </si>
  <si>
    <t>23/09/2026 20:35:51</t>
  </si>
  <si>
    <t>TQGP031.0157/HO-5/5-G</t>
  </si>
  <si>
    <t>TQAAB6047 - 0977118907 - Kênh tiếp nhận: live-chat - Sender ID: 6ab3d57155950 - SĐT KH cung cấp: Không ghi nhận - Báo hỏng dịch vụ</t>
  </si>
  <si>
    <t>TQAAA3007</t>
  </si>
  <si>
    <t>ĐINH THỊ TUYÊN</t>
  </si>
  <si>
    <t>24/09/2026 10:21:50</t>
  </si>
  <si>
    <t>TQGTI.TUANLQ2</t>
  </si>
  <si>
    <t>TQGP028.0124/HO-1/1-G</t>
  </si>
  <si>
    <t>0363527234 kh cần kết nối box</t>
  </si>
  <si>
    <t>KH cần thay/ lắp đặt, kết nối BOX</t>
  </si>
  <si>
    <t>TQAAE3863</t>
  </si>
  <si>
    <t>HÀ THỊ ĐÀN</t>
  </si>
  <si>
    <t>22/09/2026 08:14:40</t>
  </si>
  <si>
    <t>TQGTI.CUONGDD9</t>
  </si>
  <si>
    <t>TQGP038.0403/HO-1/1-G</t>
  </si>
  <si>
    <t>0865929712 kh báo MTH k truy cập đc nhờ KT hỗ trợ</t>
  </si>
  <si>
    <t>TQAAC8589</t>
  </si>
  <si>
    <t>THẢO THỊ SUA</t>
  </si>
  <si>
    <t>23/09/2026 08:01:49</t>
  </si>
  <si>
    <t>TQGP028.0348/HO-6/6-G</t>
  </si>
  <si>
    <t>0372267714 kh bao mạng kém sd lúc được lúc k</t>
  </si>
  <si>
    <t>WiFi sóng yếu hoặc chập chờn</t>
  </si>
  <si>
    <t>TQAAA3950</t>
  </si>
  <si>
    <t>PHAN VĂN THÀNH</t>
  </si>
  <si>
    <t>23/09/2026 14:20:41</t>
  </si>
  <si>
    <t>TQGP027.0127/HO-3/3-G</t>
  </si>
  <si>
    <t>TQAAA3950 - 0969962090 - PHAN VĂN THÀNH:</t>
  </si>
  <si>
    <t>Lỗi không sử dụng được tính năng điều khiển giọng nói</t>
  </si>
  <si>
    <t>TQFD14202</t>
  </si>
  <si>
    <t>TRẦN THỊ DUNG</t>
  </si>
  <si>
    <t>24/09/2026 09:56:17</t>
  </si>
  <si>
    <t>TQGP011.0041/HO-1/1-G</t>
  </si>
  <si>
    <t>0334069995 KH báo mkn nhờ KT qua kiểm tra</t>
  </si>
  <si>
    <t>KH yêu cầu bảo trì khác</t>
  </si>
  <si>
    <t>TQAAB1352</t>
  </si>
  <si>
    <t>CHU VĂN CHIẾN</t>
  </si>
  <si>
    <t>23/09/2026 21:18:41</t>
  </si>
  <si>
    <t>TQGP027.0217/HO-6/6-G</t>
  </si>
  <si>
    <t>TQAAB1352 - 0974544558 - Kênh tiếp nhận: live-chat - Sender ID: 0974544558 - SĐT KH cung cấp: Không ghi nhận - Báo hỏng dịch vụ</t>
  </si>
  <si>
    <t>12:00 - 13:30</t>
  </si>
  <si>
    <t>TQFD02723</t>
  </si>
  <si>
    <t>Nguyen Thi Hue</t>
  </si>
  <si>
    <t>23/09/2026 14:09:24</t>
  </si>
  <si>
    <t>TQGP006.0072/HO-5/5-G</t>
  </si>
  <si>
    <t>kh xem đc cam nhờ KTV qua hỗ trợ cho kh</t>
  </si>
  <si>
    <t>[CMR] KH không nhận được OTP</t>
  </si>
  <si>
    <t>TQAAB7469</t>
  </si>
  <si>
    <t>TẠ THỊ NƯƠNG</t>
  </si>
  <si>
    <t>23/09/2026 20:56:59</t>
  </si>
  <si>
    <t>TQGP032.0455/HO-4/4-G</t>
  </si>
  <si>
    <t>TQAAA9185</t>
  </si>
  <si>
    <t>ĐỖ NGỌC HÙNG</t>
  </si>
  <si>
    <t>24/09/2026 09:18:09</t>
  </si>
  <si>
    <t>TQGP030.0132/HO-4/4-G</t>
  </si>
  <si>
    <t>TQAAA3853</t>
  </si>
  <si>
    <t>NGÔ THỊ THUÝ</t>
  </si>
  <si>
    <t>21/09/2026 14:48:57</t>
  </si>
  <si>
    <t>TQGP026.0055/HO-1/1-G</t>
  </si>
  <si>
    <t>0986265567 kh báo mang kém, ksd được, k hợp tác tt cươc nhờ KT qua sửa cho kh</t>
  </si>
  <si>
    <t xml:space="preserve">
&gt;&gt; TQGTI.BINHLV6 23/09/2026 07:48:51: đã di chuyển đến nhà khách kiểm tra hoạt động do hỏng điều khiển BOX khách hàng  không biết đồng  ý  mua  điều khiển</t>
  </si>
  <si>
    <t>TQAAC9183</t>
  </si>
  <si>
    <t xml:space="preserve">Hà Văn Sơn </t>
  </si>
  <si>
    <t>24/09/2026 07:45:25</t>
  </si>
  <si>
    <t>TQGTI.HUYNHNX</t>
  </si>
  <si>
    <t>TQGP012.0062/HO-7/7-G</t>
  </si>
  <si>
    <t>KH báo mkn nhờ KT qua kiểm tra</t>
  </si>
  <si>
    <t>TQFD09357</t>
  </si>
  <si>
    <t>NGUYỄN XUÂN NGHIÊM</t>
  </si>
  <si>
    <t>22/09/2026 15:50:20</t>
  </si>
  <si>
    <t>TQGP014.0166/HO-1/1-G</t>
  </si>
  <si>
    <t>038 4103455 kh báo box hno thay cứ chập chờn không xem đc, nhờ KT hỗ trợ</t>
  </si>
  <si>
    <t>TQGTI.CONGND4</t>
  </si>
  <si>
    <t>TQAAE5855</t>
  </si>
  <si>
    <t>Trần Thị Hà</t>
  </si>
  <si>
    <t>23/09/2026 11:42:15</t>
  </si>
  <si>
    <t>TQGP013.0048/HO-6/6-G</t>
  </si>
  <si>
    <t>TQAAE5855 - 0987682243 - Kênh tiếp nhận: live-chat - Sender ID: 6ab3585b8578f - SĐT KH cung cấp: Không ghi nhận - Báo hỏng dịch vụ</t>
  </si>
  <si>
    <t>TQAAC6077</t>
  </si>
  <si>
    <t>RIÊU VĂN DOANH</t>
  </si>
  <si>
    <t>23/09/2026 18:50:25</t>
  </si>
  <si>
    <t>TQGP018.0144/HO-7/7-G</t>
  </si>
  <si>
    <t>TQAAC6077 - 0986492110 - Kênh tiếp nhận: live-chat - Sender ID: 6ab3bcc043e3a - SĐT KH cung cấp: Không ghi nhận - Báo hỏng dịch vụ</t>
  </si>
  <si>
    <t>TQAAE8568</t>
  </si>
  <si>
    <t>ĐỖ DUY HÙNG</t>
  </si>
  <si>
    <t>19/09/2026 11:57:53</t>
  </si>
  <si>
    <t>TQGP031.0411/HO-5/5-G</t>
  </si>
  <si>
    <t>Checklist app hifpt/ / liên hệ số 0983755078</t>
  </si>
  <si>
    <t>TQFD13450</t>
  </si>
  <si>
    <t>TRỊNH KẾ NGHĨA</t>
  </si>
  <si>
    <t>23/09/2026 14:45:09</t>
  </si>
  <si>
    <t>TQGTI.CUHA</t>
  </si>
  <si>
    <t>Hỏng điều khiển</t>
  </si>
  <si>
    <t>TQAAE4058</t>
  </si>
  <si>
    <t>TRẦN THỊ TẠ</t>
  </si>
  <si>
    <t>24/09/2026 06:38:46</t>
  </si>
  <si>
    <t>TQGTI.HUNGDQ5</t>
  </si>
  <si>
    <t>TQGP035.0131/HO-2/2-G</t>
  </si>
  <si>
    <t>TQAAE4058 - 0978063651 - Kênh tiếp nhận: live-chat - Sender ID: 6ab462b7b07f0 - SĐT KH cung cấp: 0978063651 - Báo hỏng dịch vụ</t>
  </si>
  <si>
    <t>TQAAE7468</t>
  </si>
  <si>
    <t>HOÀNG VĂN LINH</t>
  </si>
  <si>
    <t>23/09/2026 17:43:02</t>
  </si>
  <si>
    <t>TQGP027.0104/HO-6/6-G</t>
  </si>
  <si>
    <t>Kh báo k vào dc mạng</t>
  </si>
  <si>
    <t>TQFD20613</t>
  </si>
  <si>
    <t>NGUYỄN XUÂN THANH</t>
  </si>
  <si>
    <t>23/09/2026 19:47:44</t>
  </si>
  <si>
    <t>TQGTI.QUANDM2</t>
  </si>
  <si>
    <t>TQGP005.0096/HO-10/10-G</t>
  </si>
  <si>
    <t xml:space="preserve">TQFD20613 - 0385365241 - chd:  kh báo mkn internet ktra ko có ipw nhờ kt qua htro khách </t>
  </si>
  <si>
    <t>TQAAA0562</t>
  </si>
  <si>
    <t>LÊ CHIẾN CÔNG</t>
  </si>
  <si>
    <t>23/09/2026 21:07:16</t>
  </si>
  <si>
    <t>TQGP009.0095/HO-7/7-G</t>
  </si>
  <si>
    <t xml:space="preserve">TQAAA0562 - 0845577792 - LÊ CHIẾN CÔNG:  kh báo qua hifpt k xem đc TH, nhờ kt qua htro giúp khg
 </t>
  </si>
  <si>
    <t>TQAAC8927</t>
  </si>
  <si>
    <t>TRẦN VĂN HÙNG</t>
  </si>
  <si>
    <t>24/09/2026 07:45:14</t>
  </si>
  <si>
    <t>TQGP028.0287/HO-4/4-G</t>
  </si>
  <si>
    <t>0867643170 kh báo mạng yếu chập chờn nhờ KT hỗ trợ</t>
  </si>
  <si>
    <t>TQAAB6311</t>
  </si>
  <si>
    <t>NGÔ VĂN MẠNH</t>
  </si>
  <si>
    <t>24/09/2026 08:01:42</t>
  </si>
  <si>
    <t>TQGP028.0211/HO-2/2-G</t>
  </si>
  <si>
    <t>0334159110 kh báo mth</t>
  </si>
  <si>
    <t>TQFD09571</t>
  </si>
  <si>
    <t>NGUYỄN THỊ XUYẾN</t>
  </si>
  <si>
    <t>24/09/2026 08:27:27</t>
  </si>
  <si>
    <t>SR - CSCĐ</t>
  </si>
  <si>
    <t>TQGP008.0217/HO-8/8-G</t>
  </si>
  <si>
    <t>Auto call: KH cần hỗ trợ kỹ thuật</t>
  </si>
  <si>
    <t>TQFD22649</t>
  </si>
  <si>
    <t>TRẦN TUẤN ANH</t>
  </si>
  <si>
    <t>24/09/2026 09:53:32</t>
  </si>
  <si>
    <t>SR Khiếu nại</t>
  </si>
  <si>
    <t>TQGP020.0029/HO-7/7-G</t>
  </si>
  <si>
    <t>0978151022 NHờ kt thay giúp box OTT cho kh. Xin CF, kh k đồng ý mất phí</t>
  </si>
  <si>
    <t>TQAAE0730</t>
  </si>
  <si>
    <t>LÝ THỊ LƯƠNG</t>
  </si>
  <si>
    <t>24/09/2026 10:19:43</t>
  </si>
  <si>
    <t>TQGTI.DUNGNT26</t>
  </si>
  <si>
    <t>TQGP027.0084/HO-8/8-G</t>
  </si>
  <si>
    <t>TQAAE0730 - 0346540731 - LY THI LUONG:</t>
  </si>
  <si>
    <t>Lỗi App - Xem camera báo lỗi ngoại tuyến</t>
  </si>
  <si>
    <t>TQAAE9218</t>
  </si>
  <si>
    <t>Nguyễn Ngọc Anh</t>
  </si>
  <si>
    <t>24/09/2026 08:35:09</t>
  </si>
  <si>
    <t>TQGP002.0093/HO-8/8-G</t>
  </si>
  <si>
    <t>TQAAE9218 - 0968566893 - Kênh tiếp nhận: live-chat - Sender ID: 0968566893 - SĐT KH cung cấp: Không ghi nhận - lắp đường truyền quốc tế để chơi game AION2 không bị giật lag</t>
  </si>
  <si>
    <t>TQAAC7157</t>
  </si>
  <si>
    <t>NINH VĂN VINH</t>
  </si>
  <si>
    <t>23/09/2026 21:15:33</t>
  </si>
  <si>
    <t>TQGP032.0453/HO-1/1-G</t>
  </si>
  <si>
    <t>TQAAC7157 - 0327701410 - Số chính chủ: KH báo mkn, tăt mở nok, đèn sáng bth, ko IPWAN, offline, ko có thông số, KH cần nvkt qua hỗ trợ</t>
  </si>
  <si>
    <t>TQFD14485</t>
  </si>
  <si>
    <t>NGUYỄN VĂN LONG</t>
  </si>
  <si>
    <t>23/09/2026 15:49:31</t>
  </si>
  <si>
    <t>TQGP019.0110/HO-1/1-G</t>
  </si>
  <si>
    <t>TQFD14485 - 0372596356 - chd: Kh báo mạng chập chờn. chậm rớt kết nối liên tục, ktra ONU:-26.99 … suy hao k đạt chuẩn, kh pa dây tín hiệu thuê bao bị rơi xuống đường chỗ cánh đồng, đã tạo cl. nhờ kỹ thuật htrợ</t>
  </si>
  <si>
    <t>TQAAC3076</t>
  </si>
  <si>
    <t>TRẦN THỊ THƠM</t>
  </si>
  <si>
    <t>24/09/2026 10:15:07</t>
  </si>
  <si>
    <t>TQGP032.0170/HO-2/2-G</t>
  </si>
  <si>
    <t>0983356886 kh báo cmr lỗi k xem đc nhờ KT hỗ trợ</t>
  </si>
  <si>
    <t>TQAAC8138</t>
  </si>
  <si>
    <t>PHẠM BÁ XUÂN</t>
  </si>
  <si>
    <t>23/09/2026 17:17:05</t>
  </si>
  <si>
    <t>TQGP006.0208/HO-5/5-G</t>
  </si>
  <si>
    <t xml:space="preserve">0968724685 KH báo mkn nhờ KT hỗ trợ KH </t>
  </si>
  <si>
    <t>TQAAF0600</t>
  </si>
  <si>
    <t>Lê Văn Cúc Phương</t>
  </si>
  <si>
    <t>24/09/2026 09:41:41</t>
  </si>
  <si>
    <t>TQGP009.0169/HO-6/6-</t>
  </si>
  <si>
    <t>TQAAF0600 - 0966117197 - Lê Văn Cúc Phương: rx -22.01, kh phản ánh chất lượng mạng yếu, lhe knm, chat ob ok, tao CL nho KT qua htro them</t>
  </si>
  <si>
    <t>TQAAE7704</t>
  </si>
  <si>
    <t>NGA VĂN LONG</t>
  </si>
  <si>
    <t>23/09/2026 13:27:32</t>
  </si>
  <si>
    <t>TQGP013.0184/HO-2/2-G</t>
  </si>
  <si>
    <t>TQAAE7704 - 0977679271 - Kênh tiếp nhận: live-chat - Sender ID: 0977679271 - SĐT KH cung cấp: Không ghi nhận - Báo hỏng dịch vụ</t>
  </si>
  <si>
    <t>TQAAE6009</t>
  </si>
  <si>
    <t>ĐẰNG VĂN CHIẾN</t>
  </si>
  <si>
    <t>23/09/2026 10:54:23</t>
  </si>
  <si>
    <t>TQGP027.0224/HO-12/12-G</t>
  </si>
  <si>
    <t>TQAAE6009 - 0832195312 - Kênh tiếp nhận: live-chat - Sender ID: 6ab34d06a609c - SĐT KH cung cấp: 0832195312 - Báo hỏng dịch vụ</t>
  </si>
  <si>
    <t>TQFD15063</t>
  </si>
  <si>
    <t>BÙI THỊ THU</t>
  </si>
  <si>
    <t>24/09/2026 10:21:01</t>
  </si>
  <si>
    <t>TQGP009.0089/HO-2/2-G</t>
  </si>
  <si>
    <t>0398156052 khg báo mkn</t>
  </si>
  <si>
    <t>TQD002510</t>
  </si>
  <si>
    <t>Pham Thi Tuyet</t>
  </si>
  <si>
    <t>24/09/2026 10:01:47</t>
  </si>
  <si>
    <t>TQGTI.CUONGLM8</t>
  </si>
  <si>
    <t>TQGP003.0030/HO-4/4-G</t>
  </si>
  <si>
    <t>0978573647 kh báo lỗi k xem đc TH nhờ KT hỗ trợ</t>
  </si>
  <si>
    <t>Truyền hình mất hình/ mất tiếng tất cả kênh</t>
  </si>
  <si>
    <t>TQAAB0488</t>
  </si>
  <si>
    <t>LÊ TRUNG TUYỂN</t>
  </si>
  <si>
    <t>24/09/2026 08:38:51</t>
  </si>
  <si>
    <t>TQGP030.0172/HO-1/1-G</t>
  </si>
  <si>
    <t>[Thanh lý -&gt; Phương án xử lý -&gt; Hỗ trợ xử lý dịch vụ/kỹ thuật] - Khách hàng yêu cầu huỷ truyền hình nhờ cus hỗ trợ</t>
  </si>
  <si>
    <t>TQAAC5689</t>
  </si>
  <si>
    <t>HOÀNG VĂN PHƯƠNG</t>
  </si>
  <si>
    <t>24/09/2026 09:21:16</t>
  </si>
  <si>
    <t>TQGTI.CHIENMM</t>
  </si>
  <si>
    <t>TQGP033.0213/HO-1/1-G</t>
  </si>
  <si>
    <t>TQAAC5689 - 0392483739 - Kênh tiếp nhận: live-chat - Sender ID: 6ab488bf32328 - SĐT KH cung cấp: 0392483739 - Báo hỏng dịch vụ</t>
  </si>
  <si>
    <t>TQAAB6803</t>
  </si>
  <si>
    <t>NGUYỄN VĂN LƯỢNG</t>
  </si>
  <si>
    <t>24/09/2026 08:24:46</t>
  </si>
  <si>
    <t>TQGP032.0392/HO-4/4-G</t>
  </si>
  <si>
    <t>0382721845 kh báo lỗi box k SD được nhờ KT hỗ trợ</t>
  </si>
  <si>
    <t>TQAAC6596</t>
  </si>
  <si>
    <t>HOÀNG ĐÌNH KHẢI</t>
  </si>
  <si>
    <t>23/09/2026 18:04:27</t>
  </si>
  <si>
    <t>TQGP026.0023/HO-12/12-G</t>
  </si>
  <si>
    <t>0968547869 KH mkn</t>
  </si>
  <si>
    <t>F-Game</t>
  </si>
  <si>
    <t>TQAAB8901</t>
  </si>
  <si>
    <t>NGUYỄN KHÁNH DUY</t>
  </si>
  <si>
    <t>24/09/2026 07:44:30</t>
  </si>
  <si>
    <t>TQGP001.0073/HO-8/8-G</t>
  </si>
  <si>
    <t>Kh yêu cầu hủy do chất lượng, đã xin kh bảo trì, thay modem mới, kh đồng ý</t>
  </si>
  <si>
    <t>TQAAE3435</t>
  </si>
  <si>
    <t>NGUYỄN THỊ THƯƠNG</t>
  </si>
  <si>
    <t>15/09/2026 16:27:27</t>
  </si>
  <si>
    <t>TQGP038.0290/HO-4/4-G</t>
  </si>
  <si>
    <t>KH báo truyền hình không xem được, nhờ KT xử lý</t>
  </si>
  <si>
    <t xml:space="preserve">
&gt;&gt; Nghiavm1.tin 22/09/2026 09:45:41: thay tạm box cho kh sd, chưa hoàn ứng được</t>
  </si>
  <si>
    <t>TQAAB6700</t>
  </si>
  <si>
    <t>PHÙNG THẾ HÙNG</t>
  </si>
  <si>
    <t>22/09/2026 14:34:57</t>
  </si>
  <si>
    <t>TQGP022.0270/HO-2/2-G</t>
  </si>
  <si>
    <t>0388923768 kh báo mạng dùng mỗi CMR mà kém quay tít, báo sửa thì mới đóng tiền nhờ KT hỗ trợ</t>
  </si>
  <si>
    <t xml:space="preserve">
&gt;&gt; TQGTI.CONGND4 24/09/2026 09:42:47: khg sd cam của nhà cc khc kt kt rs lại modem cho khg khg sd và theo doi thêm</t>
  </si>
  <si>
    <t>POP</t>
  </si>
  <si>
    <t>Kiểm soát</t>
  </si>
  <si>
    <t>Đã kiểm soát</t>
  </si>
  <si>
    <t>Đang kiểm soát</t>
  </si>
  <si>
    <t>Trưởng bầy</t>
  </si>
  <si>
    <t>NS chính</t>
  </si>
  <si>
    <t>NS DVKH</t>
  </si>
  <si>
    <t>ANHHV15</t>
  </si>
  <si>
    <t>HUONGTT33</t>
  </si>
  <si>
    <t>TQGTI.HOANQV</t>
  </si>
  <si>
    <t>LYHK7</t>
  </si>
  <si>
    <t>TAMVTT5</t>
  </si>
  <si>
    <t>TQG.HANGVTT12</t>
  </si>
  <si>
    <t>TRANGDTH35</t>
  </si>
  <si>
    <t>TRANGHT28</t>
  </si>
  <si>
    <t>TQGTI.TRUNGNX3</t>
  </si>
  <si>
    <t>UYENHT15</t>
  </si>
  <si>
    <t>Phuong Binh Thuan-010</t>
  </si>
  <si>
    <t>TQGTI.DATNB</t>
  </si>
  <si>
    <t>TQAAA1264</t>
  </si>
  <si>
    <t>TRẦN THỊ THÌN</t>
  </si>
  <si>
    <t>24/09/2026 11:33:47</t>
  </si>
  <si>
    <t>TQGP023.0166/HO-6/6-G</t>
  </si>
  <si>
    <t>0378768114 KH báo bị sét đánh cháy dây đầu box, wf thì vẫn sd đc nhưng tivi k xem đc nhờ KT qua kiểm tra</t>
  </si>
  <si>
    <t>Lỗi hệ thống FPT Play - Không xem được phim truyện/ Truyền hình</t>
  </si>
  <si>
    <t>TQAAC1859</t>
  </si>
  <si>
    <t>PHÙNG VĂN TOÀN</t>
  </si>
  <si>
    <t>24/09/2026 11:16:10</t>
  </si>
  <si>
    <t>TQGP022.0096/HO-4/4-G</t>
  </si>
  <si>
    <t>0982545280 kh baó MTH k truy cập đc nhờ KT hỗ trợ</t>
  </si>
  <si>
    <t>TQAAF0785</t>
  </si>
  <si>
    <t>Lê Khánh Ly</t>
  </si>
  <si>
    <t>24/09/2026 12:31:09</t>
  </si>
  <si>
    <t>TQGP007.0123/HO-2/2-G</t>
  </si>
  <si>
    <t>TQAAF0785 - 0904204817 - Kênh tiếp nhận: live-chat - Sender ID: 6ab4b50d1caaf - SĐT KH cung cấp: 0904204817 - Báo hỏng dịch vụ</t>
  </si>
  <si>
    <t>TQAAC4670</t>
  </si>
  <si>
    <t>TIÊU THỊ LAN</t>
  </si>
  <si>
    <t>24/09/2026 12:12:19</t>
  </si>
  <si>
    <t>TQGP016.0126/HO-6/6-G</t>
  </si>
  <si>
    <t>0388936672 KH báo ko xem đc vtv3</t>
  </si>
  <si>
    <t>TQGP001.0035/HO-14/14-G</t>
  </si>
  <si>
    <t>TQAAB4182</t>
  </si>
  <si>
    <t>TRẦN VĂN QUANG</t>
  </si>
  <si>
    <t>24/09/2026 11:58:10</t>
  </si>
  <si>
    <t>TQGP032.0255/HO-3/3-G</t>
  </si>
  <si>
    <t>TQAAB4182 - 0967207073 - TRẦN VĂN QUANG:</t>
  </si>
  <si>
    <t xml:space="preserve">
&gt;&gt; BenLT.tin 24/09/2026 11:58:23: TQAAB4182 - 0967207073 - TRẦN VĂN QUANG: KH báo mất kết nối, k có  ipwan, Enable/ Offline/ None đã tắt bật modem nok, nhờ kỹ thuật KT hỗ trợ</t>
  </si>
  <si>
    <t xml:space="preserve">
&gt;&gt; TQGTI.TUANQD 24/09/2026 11:48:31: md loi kt thay md.khg sd bt</t>
  </si>
  <si>
    <t>TQAAE8929</t>
  </si>
  <si>
    <t>Hoàng Thị Tại</t>
  </si>
  <si>
    <t>24/09/2026 13:02:20</t>
  </si>
  <si>
    <t>TQGP031.0222/HO-7/7-G</t>
  </si>
  <si>
    <t>TQAAE8929 - 0399926854 - Kênh tiếp nhận: live-chat - Sender ID: 6ab4bcae53daa - SĐT KH cung cấp: 0399926854 - Báo hỏng dịch vụ</t>
  </si>
  <si>
    <t>TQFD21262</t>
  </si>
  <si>
    <t>NGUYỄN VĂN QUYẾT</t>
  </si>
  <si>
    <t>24/09/2026 11:41:27</t>
  </si>
  <si>
    <t>TQGP008.0333/HO-5/5-G</t>
  </si>
  <si>
    <t>TQFD21262 - 0356352283 - NGUYỄN VĂN QUYẾT: KH báo mất tin hiệu, k ipw, Dis/Off ,báo đường truyền đang mất tín hiệu, đã tắt bật modem nok, nhờ kỹ thuật KT hỗ trợ nl đỏ nhờ tin xl sớm trong hn giúp</t>
  </si>
  <si>
    <t>TQAAF0610</t>
  </si>
  <si>
    <t>Lý Tiến Đội</t>
  </si>
  <si>
    <t>24/09/2026 12:41:48</t>
  </si>
  <si>
    <t>TQGP033.0321/HO-6/6-G</t>
  </si>
  <si>
    <t>TQAAF0610 - 0868559023 - Kênh tiếp nhận: live-chat - Sender ID: 6ab4b7a42a00d - SĐT KH cung cấp: 0868559023 - Báo hỏng dịch vụ</t>
  </si>
  <si>
    <t>TQFD12180</t>
  </si>
  <si>
    <t>PHẠM THỊ HUYỀN</t>
  </si>
  <si>
    <t>24/09/2026 11:30:43</t>
  </si>
  <si>
    <t>TQGP006.0191/HO-8/8-G</t>
  </si>
  <si>
    <t>TQFD12180 - 0965192298 - PHẠM THỊ HUYỀN: Kh báo mạng chập chờn, đã reboot modem nok. Nhờ kt qua hỗ trợ giúp ạ. ONU  57.00- 0.99- -21.43</t>
  </si>
  <si>
    <t>TQAAA1425</t>
  </si>
  <si>
    <t>LY VĂN SANG</t>
  </si>
  <si>
    <t>24/09/2026 12:11:58</t>
  </si>
  <si>
    <t>TQGP006.0329/HO-6/6-G</t>
  </si>
  <si>
    <t>TQAAA1425 - 0372941182 - Kênh tiếp nhận: live-chat - Sender ID: 0886586800 - SĐT KH cung cấp: Không ghi nhận - Báo hỏng dịch vụ</t>
  </si>
  <si>
    <t>TQAAB6368</t>
  </si>
  <si>
    <t>BÙI ĐỨC LƯƠNG</t>
  </si>
  <si>
    <t>24/09/2026 13:20:50</t>
  </si>
  <si>
    <t>TQGP006.0076/HO-1/1-G</t>
  </si>
  <si>
    <t xml:space="preserve">TQAAB6368 - 0818592888 - BÙI ĐỨC LƯƠNG: kh báo: Lỗi Internet, có ip wan, Enable/ Online/ Normal, 48.51/ 2.03/ -20.97, tắt bật tb not ok, chuyển ktv qua ht kh  </t>
  </si>
  <si>
    <t>Đối tác</t>
  </si>
  <si>
    <t>Tên KH</t>
  </si>
  <si>
    <t>Tình trạng HĐ</t>
  </si>
  <si>
    <t>Đơn hàng &amp; Dịch Vụ</t>
  </si>
  <si>
    <t>Tình trạng</t>
  </si>
  <si>
    <t>TG tạo PTC</t>
  </si>
  <si>
    <t>Loại triển khai</t>
  </si>
  <si>
    <t>Thông số thi công</t>
  </si>
  <si>
    <t>Lý do không tạo được PTC</t>
  </si>
  <si>
    <t>Sale HĐ</t>
  </si>
  <si>
    <t>Block nhân sự</t>
  </si>
  <si>
    <t>TG Hẹn xanh</t>
  </si>
  <si>
    <t>TG Hẹn đỏ</t>
  </si>
  <si>
    <t>Tên truy cập</t>
  </si>
  <si>
    <t>Ghi chú triển khai TIN/PNC</t>
  </si>
  <si>
    <t>Quản lý</t>
  </si>
  <si>
    <t>1</t>
  </si>
  <si>
    <t>11.Tay Bac Bo</t>
  </si>
  <si>
    <t>TQAAF1352</t>
  </si>
  <si>
    <t>TIN TQG</t>
  </si>
  <si>
    <t>Xa Hung Duc-001- L01</t>
  </si>
  <si>
    <t>Ly Thi Huyen</t>
  </si>
  <si>
    <t>Bình thường</t>
  </si>
  <si>
    <t>TQGP40061T55:FPT Camera Combo, FPT Play, Internet</t>
  </si>
  <si>
    <t>04-09-2026 13:16:04</t>
  </si>
  <si>
    <t>Triển khai mới</t>
  </si>
  <si>
    <t>TQGP024.0421/HO-8/8-G</t>
  </si>
  <si>
    <t xml:space="preserve"> </t>
  </si>
  <si>
    <t>tqg.tuenv3</t>
  </si>
  <si>
    <t>27-09-2026 19:30:00</t>
  </si>
  <si>
    <t>Tqfdl-260904-1352</t>
  </si>
  <si>
    <t xml:space="preserve">kh đi vắng mấy hôm. hẹn khi nào về kh gọi&gt;&gt;(TQGTI.BINHTH1 04/09/2026 10:18:17 PM) 
</t>
  </si>
  <si>
    <t>2</t>
  </si>
  <si>
    <t>TQAAC3881</t>
  </si>
  <si>
    <t>TUONG VAN CHINH</t>
  </si>
  <si>
    <t>TQGP80063CME:FPT Camera Combo</t>
  </si>
  <si>
    <t>Đang xử lý</t>
  </si>
  <si>
    <t>08-09-2026 09:07:03</t>
  </si>
  <si>
    <t>KH nâng cấp dịch vụ gia tăng</t>
  </si>
  <si>
    <t>TQGP024.0325/HO-5/5-G</t>
  </si>
  <si>
    <t>hni.huongbt9</t>
  </si>
  <si>
    <t>Tqfdl-250331-3881</t>
  </si>
  <si>
    <t xml:space="preserve">kh bảo hôm nào có lương alo qua lắp&gt;&gt;(TQGTI.BINHTH1 22/09/2026 01:47:44 PM) 
kh hẹn có lương&gt;&gt;(TQGTI.BINHTH1 20/09/2026 05:32:59 PM) 
chưa có cam 4s&gt;&gt;(TQGTI.BINHTH1 15/09/2026 04:59:28 PM) 
kho hết cam 4s. đang đợi điều chuyển&gt;&gt;(TQGTI.BINHTH1 10/09/2026 08:11:12 AM) 
</t>
  </si>
  <si>
    <t>3</t>
  </si>
  <si>
    <t>TQAAC8438</t>
  </si>
  <si>
    <t>LE THI TUYET</t>
  </si>
  <si>
    <t>TQGP80063HSM:FPT Camera Combo</t>
  </si>
  <si>
    <t>Đã phân công</t>
  </si>
  <si>
    <t>08-09-2026 17:47:20</t>
  </si>
  <si>
    <t>TQGP025.0171/HO-8/8-G</t>
  </si>
  <si>
    <t>hni.anhhp5</t>
  </si>
  <si>
    <t>28-09-2026 10:00:00</t>
  </si>
  <si>
    <t>Tqfdl-250917-8438</t>
  </si>
  <si>
    <t>4</t>
  </si>
  <si>
    <t>TQAAF1563</t>
  </si>
  <si>
    <t>Phuong Minh Xuan-001- L05</t>
  </si>
  <si>
    <t>Ly Van Nguyen</t>
  </si>
  <si>
    <t>TQGP90063QKB:FPT Camera Combo, FPT Play, Internet</t>
  </si>
  <si>
    <t>09-09-2026 15:11:55</t>
  </si>
  <si>
    <t>TQGP009.0251/HO-V/V-G</t>
  </si>
  <si>
    <t>tqg.hatt47</t>
  </si>
  <si>
    <t>30-09-2026 17:30:00</t>
  </si>
  <si>
    <t>Tqfdl-260909-1563</t>
  </si>
  <si>
    <t xml:space="preserve">khg đi viện chưa về&gt;&gt;(TQGTI.TUANQD 20/09/2026 02:46:21 PM) 
</t>
  </si>
  <si>
    <t>5</t>
  </si>
  <si>
    <t>TQAAE8588</t>
  </si>
  <si>
    <t>Phuong Minh Xuan-001- L04</t>
  </si>
  <si>
    <t>Vu Hai Nam</t>
  </si>
  <si>
    <t>SSR-TQAAE8588-TDDDNN100926QOT5:FPT Camera, FPT Play, Internet</t>
  </si>
  <si>
    <t>10-09-2026 17:39:42</t>
  </si>
  <si>
    <t>Chuyển địa điểm</t>
  </si>
  <si>
    <t>TQGP004.0076/HO-3/3-G</t>
  </si>
  <si>
    <t>trangdth35</t>
  </si>
  <si>
    <t>24-09-2026 17:30:00</t>
  </si>
  <si>
    <t>Tqfdl-260630-8588</t>
  </si>
  <si>
    <t xml:space="preserve">kh vẫn chưa lấy được chìa khoá&gt;&gt;(TQGTI.THANHNV8 17/09/2026 04:09:30 PM) 
kh hẹn&gt;&gt;(TQGTI.THANHNV8 14/09/2026 04:10:04 PM) 
kh vẫn chưa lấy được chìa khoá nhà&gt;&gt;(TQGTI.THANHNV8 12/09/2026 03:59:36 PM) 
kh hẹn&gt;&gt;(TQGTI.THANHNV8 11/09/2026 05:20:49 PM) 
kh hẹn&gt;&gt;(TQGTI.THANHNV8 11/09/2026 10:33:53 AM) 
</t>
  </si>
  <si>
    <t>6</t>
  </si>
  <si>
    <t>TQAAF1606</t>
  </si>
  <si>
    <t>Xa Chiem Hoa-001- L04</t>
  </si>
  <si>
    <t>NGuyen Van Binh</t>
  </si>
  <si>
    <t>TQGPB00648F4:FPT Camera Combo, FPT Play, Internet</t>
  </si>
  <si>
    <t>11-09-2026 10:46:59</t>
  </si>
  <si>
    <t>TQGP033.0266/HO-1/1-G</t>
  </si>
  <si>
    <t>tqg.chungnd7</t>
  </si>
  <si>
    <t>26-09-2026 10:00:00</t>
  </si>
  <si>
    <t>Tqfdl-260911-1606</t>
  </si>
  <si>
    <t xml:space="preserve">Nhà kh đang thi công , chưa có điện , hẹn ngày 17 thi công&gt;&gt;(TQGTI.TIENVT3 14/09/2026 02:42:16 PM) 
Phân tuyến trên Inside TQGTI.CHIENMM&gt;&gt;(Hahh.tin 14/09/2026 09:43:47 AM) 
</t>
  </si>
  <si>
    <t>7</t>
  </si>
  <si>
    <t>TQAAF1594</t>
  </si>
  <si>
    <t>Xa Yen Son-001- L02</t>
  </si>
  <si>
    <t>Do Thi Ha</t>
  </si>
  <si>
    <t>TQGPC0064RN6:FPT Camera Combo, FPT Play, Internet</t>
  </si>
  <si>
    <t>12-09-2026 22:10:47</t>
  </si>
  <si>
    <t>TQGP008.0245/HO-1/1-G</t>
  </si>
  <si>
    <t>hni.huyennt306</t>
  </si>
  <si>
    <t>25-09-2026 12:00:00</t>
  </si>
  <si>
    <t>Tqfdl-260912-1594</t>
  </si>
  <si>
    <t>Phân tuyến trên Inside TQGTI.NAMVD2&gt;&gt;(Nghiavm1.tin 22/09/2026 02:03:22 PM) 
Phân tuyến trên Inside TQGTI.NAMVD2&gt;&gt;(Nghiavm1.tin 15/09/2026 10:01:33 AM) 
Micro-PTC-NOT-OK(TQGTI.NAMVD2) - 14/09/2026 13:46:35;  -&gt; ; Chuyển thi công-hni.huyennt306-14/09/2026 13:57:46-SaleClub: nhà khách có đám hiêú nên khách hẹn cuối tháng xong công việc lắp ;Micro-PTC-NOT-OK(TQGTI.NAMVD2) - 18/09/2026 11:44:00;  -&gt; ; Chuyển thi công-hni.huyennt306-19/09/2026 09:06:12-SaleClub: Nhà khách có đám hiêú chưa xong. khách yêu cầu lắp vào ngày 25/9 ;</t>
  </si>
  <si>
    <t>8</t>
  </si>
  <si>
    <t>TQAAF1623</t>
  </si>
  <si>
    <t>Xa Ham Yen-001- L02</t>
  </si>
  <si>
    <t xml:space="preserve">Nguyen Hoai Linh </t>
  </si>
  <si>
    <t>Sky F1</t>
  </si>
  <si>
    <t>TQGPE00658AM:Internet</t>
  </si>
  <si>
    <t>14-09-2026 07:41:40</t>
  </si>
  <si>
    <t>TQGP029.0026/HO-3/3-G</t>
  </si>
  <si>
    <t>tqg.chinhkt</t>
  </si>
  <si>
    <t>Tqfdl-260914-1623</t>
  </si>
  <si>
    <t xml:space="preserve">kh chưa xđ Tgian lắp đặt&gt;&gt;(TQGTI.CAOTT 20/09/2026 05:00:55 PM) 
</t>
  </si>
  <si>
    <t>9</t>
  </si>
  <si>
    <t>TQAAF1600</t>
  </si>
  <si>
    <t>Xa Phu Luong-001- L02</t>
  </si>
  <si>
    <t>Do Minh Nam</t>
  </si>
  <si>
    <t>TQGPE0065BJ0:FPT Camera Combo, Internet</t>
  </si>
  <si>
    <t>14-09-2026 09:28:50</t>
  </si>
  <si>
    <t>TQGP026.0029/HO-11/11-G</t>
  </si>
  <si>
    <t>tqg.huongnt153</t>
  </si>
  <si>
    <t>19-09-2026 17:30:00</t>
  </si>
  <si>
    <t>Tqfdl-260914-1600</t>
  </si>
  <si>
    <t>10</t>
  </si>
  <si>
    <t>TQAAF1677</t>
  </si>
  <si>
    <t>Phuong An Tuong-001- L02</t>
  </si>
  <si>
    <t>NGUYEN THO PHUONG</t>
  </si>
  <si>
    <t>TQGPE0065D8P:FPT Camera Combo, FPT Play, Internet</t>
  </si>
  <si>
    <t>14-09-2026 11:48:54</t>
  </si>
  <si>
    <t>TQGP005.0314/HO-8/8-G</t>
  </si>
  <si>
    <t>hcm.sonlv20</t>
  </si>
  <si>
    <t>30-09-2026 10:00:00</t>
  </si>
  <si>
    <t>Tqfdl-260914-1677</t>
  </si>
  <si>
    <t>11</t>
  </si>
  <si>
    <t>TQAAF1592</t>
  </si>
  <si>
    <t>Xa Yen Son-001- L01</t>
  </si>
  <si>
    <t>Ma Van Muoi</t>
  </si>
  <si>
    <t>TQGPF0065S1F:FPT Play</t>
  </si>
  <si>
    <t>15-09-2026 20:34:34</t>
  </si>
  <si>
    <t>TQGP038.0264/HO-3/3-G</t>
  </si>
  <si>
    <t>25-09-2026 10:00:00</t>
  </si>
  <si>
    <t>22-09-2026 15:30:00</t>
  </si>
  <si>
    <t>Tqfdl-260911-1592</t>
  </si>
  <si>
    <t>12</t>
  </si>
  <si>
    <t>TQAAF1767</t>
  </si>
  <si>
    <t>Nguyen Quoc Huy</t>
  </si>
  <si>
    <t>TQGPH0066B9D:FPT Camera Combo, FPT Play, Internet</t>
  </si>
  <si>
    <t>17-09-2026 10:13:31</t>
  </si>
  <si>
    <t>TQGP029.0110/HO-4/4-G</t>
  </si>
  <si>
    <t>tqg.datnt473</t>
  </si>
  <si>
    <t>Tqfdl-260917-1767</t>
  </si>
  <si>
    <t xml:space="preserve">kh đi vắng.hẹn t3 mới về&gt;&gt;(TQGTI.CAOTT 20/09/2026 03:01:09 PM) 
</t>
  </si>
  <si>
    <t>13</t>
  </si>
  <si>
    <t>TQAAF1779</t>
  </si>
  <si>
    <t>Do Xuan Hoa</t>
  </si>
  <si>
    <t>TQGPH0066BM9:FPT Play, Internet</t>
  </si>
  <si>
    <t>17-09-2026 10:40:36</t>
  </si>
  <si>
    <t>TQGP008.0361/HO-3/3-G</t>
  </si>
  <si>
    <t>hni.lamtt34</t>
  </si>
  <si>
    <t>Tqfdl-260917-1779</t>
  </si>
  <si>
    <t>Micro-PTC-NOT-OK(TQGTI.TUNGDT4) - 21/09/2026 06:52:56;  -&gt; ; Chuyển thi công-hni.lamtt34-21/09/2026 14:45:20-SaleClub: đã mở port;</t>
  </si>
  <si>
    <t>14</t>
  </si>
  <si>
    <t>TQAAF1800</t>
  </si>
  <si>
    <t>Nguyen Thi Tuyen</t>
  </si>
  <si>
    <t>TQGPH0066CZL:FPT Camera Combo, FPT Play, Internet</t>
  </si>
  <si>
    <t>17-09-2026 13:06:43</t>
  </si>
  <si>
    <t>TQGP008.0126/HO-15/15-G</t>
  </si>
  <si>
    <t>tqg.hant275</t>
  </si>
  <si>
    <t>27-09-2026 17:30:00</t>
  </si>
  <si>
    <t>Tqfdl-260917-1800</t>
  </si>
  <si>
    <t xml:space="preserve">Phân tuyến trên Inside TQGTI.TRUNGNX3&gt;&gt;(Nghiavm1.tin 24/09/2026 07:39:33 AM) 
Phân tuyến trên Inside TQGTI.TUNGDT4&gt;&gt;(Nghiavm1.tin 20/09/2026 08:06:24 AM) 
Phân tuyến trên Inside TQGTI.NGHIANV6&gt;&gt;(longtt.tin 18/09/2026 11:46:28 PM) 
</t>
  </si>
  <si>
    <t>15</t>
  </si>
  <si>
    <t>TQAAF1774</t>
  </si>
  <si>
    <t>LE THI CHANG</t>
  </si>
  <si>
    <t>TQGPH0066JHU:FPT Camera Combo, Internet</t>
  </si>
  <si>
    <t>17-09-2026 16:08:02</t>
  </si>
  <si>
    <t>TQGP008.0366/HO-V/V-G</t>
  </si>
  <si>
    <t>tqg.oanhhtk</t>
  </si>
  <si>
    <t>Tqfdl-260917-1774</t>
  </si>
  <si>
    <t>16</t>
  </si>
  <si>
    <t>TQAAF1812</t>
  </si>
  <si>
    <t>Phuong Minh Xuan-001- L03</t>
  </si>
  <si>
    <t xml:space="preserve"> LUONG THI ANH HONG</t>
  </si>
  <si>
    <t>TQGPH0066JYB:FPT Camera Combo, Internet</t>
  </si>
  <si>
    <t>17-09-2026 16:21:12</t>
  </si>
  <si>
    <t>TQGP003.0175/HO-11/11-G</t>
  </si>
  <si>
    <t>25-09-2026 17:30:00</t>
  </si>
  <si>
    <t>Tqfdl-260917-1812</t>
  </si>
  <si>
    <t xml:space="preserve">Phân tuyến trên Inside TQGTI.TUANQD&gt;&gt;(Nghiavm1.tin 22/09/2026 07:38:44 AM) 
Phân tuyến trên Inside TQGTI.THANHNV8&gt;&gt;(Nghiavm1.tin 20/09/2026 03:24:46 PM) 
Phân tuyến trên Inside TQGTI.TUANQD&gt;&gt;(Nghiavm1.tin 20/09/2026 02:43:34 PM) 
</t>
  </si>
  <si>
    <t>17</t>
  </si>
  <si>
    <t>TQAAF1839</t>
  </si>
  <si>
    <t>Xa Phu Luong-001- L01</t>
  </si>
  <si>
    <t>DAO THI DIEM</t>
  </si>
  <si>
    <t>TQGPH0066LV3:FPT Play, Internet</t>
  </si>
  <si>
    <t>17-09-2026 19:16:30</t>
  </si>
  <si>
    <t>TQGP032.0178/HO-1/1-G</t>
  </si>
  <si>
    <t>hni.quannh79</t>
  </si>
  <si>
    <t>22-09-2026 19:30:00</t>
  </si>
  <si>
    <t>Tqfdl-260917-1839</t>
  </si>
  <si>
    <t xml:space="preserve">khâch hen 2 3 hôm nưaz mới keo&gt;&gt;(TQGTI.QUYETNT1 21/09/2026 05:37:21 PM) 
</t>
  </si>
  <si>
    <t>18</t>
  </si>
  <si>
    <t>TQAAF1494</t>
  </si>
  <si>
    <t>Hoang Trung Kien</t>
  </si>
  <si>
    <t>TQGPH0066MHU:FPT Camera Combo, FPT Play, Internet</t>
  </si>
  <si>
    <t>17-09-2026 20:58:59</t>
  </si>
  <si>
    <t>TQGP009.0219/HO-8/8-G</t>
  </si>
  <si>
    <t>30-09-2026 15:30:00</t>
  </si>
  <si>
    <t>Tqfdl-260909-1494</t>
  </si>
  <si>
    <t xml:space="preserve">chưa nâng cấp post&gt;&gt;(TQGTI.TUANQD 19/09/2026 09:46:38 AM) 
</t>
  </si>
  <si>
    <t>19</t>
  </si>
  <si>
    <t>TQAAF1784</t>
  </si>
  <si>
    <t>HOANG VAN TUY</t>
  </si>
  <si>
    <t>TQGPI0066TSV:FPT Camera Combo, FPT Play, Internet</t>
  </si>
  <si>
    <t>18-09-2026 11:52:11</t>
  </si>
  <si>
    <t>TQGP033.0341/HO-5/5-G</t>
  </si>
  <si>
    <t>hni.ngaltt13</t>
  </si>
  <si>
    <t>Tqfdl-260918-1784</t>
  </si>
  <si>
    <t xml:space="preserve">kh hẹn tháng sau thi công&gt;&gt;(TQGTI.TIENVT3 23/09/2026 08:35:21 AM) 
Phân tuyến trên Inside TQGTI.CHIENMM&gt;&gt;(Hahh.tin 21/09/2026 02:47:40 PM) 
</t>
  </si>
  <si>
    <t>20</t>
  </si>
  <si>
    <t>TQAAB7690</t>
  </si>
  <si>
    <t>Xa Hung Duc-001- L02</t>
  </si>
  <si>
    <t>DAO THI THAO</t>
  </si>
  <si>
    <t>TQGPI0066VI2:FPT Camera Combo</t>
  </si>
  <si>
    <t>18-09-2026 15:14:08</t>
  </si>
  <si>
    <t>TQGP025.0075/HO-7/7-G</t>
  </si>
  <si>
    <t>hni.thuht22</t>
  </si>
  <si>
    <t>24-09-2026 19:30:00</t>
  </si>
  <si>
    <t>Tqfdl-240711-7690</t>
  </si>
  <si>
    <t xml:space="preserve">kh hen&gt;&gt;(TQGTI.TRUNGNX3 24/09/2026 11:31:03 AM) 
kh hẹn&gt;&gt;(TQGTI.TRUNGNX3 24/09/2026 02:52:40 AM) 
hẹn kh&gt;&gt;(TQGTI.TRUNGNX3 23/09/2026 05:03:01 PM) 
hẹn kh&gt;&gt;(TQGTI.TRUNGNX3 23/09/2026 03:08:34 PM) 
hẹn kh&gt;&gt;(TQGTI.TRUNGNX3 23/09/2026 11:39:44 AM) 
hẹn kh&gt;&gt;(TQGTI.TRUNGNX3 22/09/2026 07:17:13 PM) 
kh hen&gt;&gt;(TQGTI.TRUNGNX3 22/09/2026 09:32:46 AM) 
hẹn kh&gt;&gt;(TQGTI.TRUNGNX3 20/09/2026 04:49:06 PM) 
kh hẹn&gt;&gt;(TQGTI.TRUNGNX3 19/09/2026 06:51:02 PM) 
hẹn kh&gt;&gt;(TQGTI.TRUNGNX3 19/09/2026 10:22:10 AM) 
</t>
  </si>
  <si>
    <t>21</t>
  </si>
  <si>
    <t>TQAAC0965</t>
  </si>
  <si>
    <t>NGUYEN THI XUYEN</t>
  </si>
  <si>
    <t>Chủ thuê bao đi vắng</t>
  </si>
  <si>
    <t>TQGPI0066WKI:FPT Play, Internet</t>
  </si>
  <si>
    <t>18-09-2026 16:35:21</t>
  </si>
  <si>
    <t>Khôi phục dịch vụ</t>
  </si>
  <si>
    <t>tqg.huongtt33</t>
  </si>
  <si>
    <t>24-09-2026 15:30:00</t>
  </si>
  <si>
    <t>Tqfdl-241209-0965</t>
  </si>
  <si>
    <t xml:space="preserve">chưa có thiết bị&gt;&gt;(Nghiavm1.tin 22/09/2026 09:47:41 AM) 
Phân tuyến trên Inside TQGTI.THANHNV8&gt;&gt;(Nghiavm1.tin 21/09/2026 07:42:55 AM) 
</t>
  </si>
  <si>
    <t>22</t>
  </si>
  <si>
    <t>TQAAF1350</t>
  </si>
  <si>
    <t>Tran Trung Kien</t>
  </si>
  <si>
    <t>TQGPI0066X4L:FPT Play</t>
  </si>
  <si>
    <t>18-09-2026 17:28:12</t>
  </si>
  <si>
    <t>TQGP003.0080/HO-16/16-G</t>
  </si>
  <si>
    <t>tqg.vannt27</t>
  </si>
  <si>
    <t>27-09-2026 10:00:00</t>
  </si>
  <si>
    <t>Tqfdl-260905-1350</t>
  </si>
  <si>
    <t xml:space="preserve">ko có box&gt;&gt;(TQGTI.DANGNV 23/09/2026 08:31:19 AM) 
ko có box tsd. kt goi kh hen nhung thue bao&gt;&gt;(TQGTI.DANGNV 21/09/2026 09:23:50 AM) 
</t>
  </si>
  <si>
    <t>23</t>
  </si>
  <si>
    <t>TQAAF1766</t>
  </si>
  <si>
    <t>Tran Duy Long</t>
  </si>
  <si>
    <t>TQGPJ00672M1:FPT Camera Combo, FPT Play, Internet</t>
  </si>
  <si>
    <t>19-09-2026 08:04:50</t>
  </si>
  <si>
    <t>TQGP009.0050/HO-V/V-G</t>
  </si>
  <si>
    <t>30-09-2026 12:00:00</t>
  </si>
  <si>
    <t>Tqfdl-260919-1766</t>
  </si>
  <si>
    <t>24</t>
  </si>
  <si>
    <t>TQAAF0857</t>
  </si>
  <si>
    <t>Phuong An Tuong-001- L04</t>
  </si>
  <si>
    <t>Vu Van Huy</t>
  </si>
  <si>
    <t>TQGPJ00674X5:FPT Play</t>
  </si>
  <si>
    <t>19-09-2026 09:28:39</t>
  </si>
  <si>
    <t>TQGP001.0086/HO-6/6-G</t>
  </si>
  <si>
    <t>Tqfdl-260822-0857</t>
  </si>
  <si>
    <t xml:space="preserve">kho dang ko co hang&gt;&gt;(TQGTI.CUHA 22/09/2026 01:52:59 PM) 
vat tu kt dang het&gt;&gt;(TQGTI.CUHA 21/09/2026 04:51:37 PM) 
Phân tuyến trên Inside TQGTI.CUHA&gt;&gt;(longtt.tin 21/09/2026 09:40:22 AM) 
chưa có thiêt bị tương ứng hẹn lại&gt;&gt;(TQGTI.GIANGVH2 20/09/2026 10:38:59 AM) 
chưa có Tb tương ứng hẹn lại kh&gt;&gt;(TQGTI.GIANGVH2 19/09/2026 09:36:01 AM) 
</t>
  </si>
  <si>
    <t>25</t>
  </si>
  <si>
    <t>TQAAF1835</t>
  </si>
  <si>
    <t>Phuong My Lam-001- L02</t>
  </si>
  <si>
    <t>Nguyen Thi Ly</t>
  </si>
  <si>
    <t>TQGPJ006781I:Internet</t>
  </si>
  <si>
    <t>19-09-2026 14:28:34</t>
  </si>
  <si>
    <t>TQGP013.0026/HO-4/4-G</t>
  </si>
  <si>
    <t>Tqfdl-260919-1835</t>
  </si>
  <si>
    <t xml:space="preserve">Phân tuyến trên Inside TQGTI.ANHPH3&gt;&gt;(Nghiavm1.tin 23/09/2026 08:13:07 AM) 
sale báo xin nang hộp&gt;&gt;(TQGTI.DANGNV 21/09/2026 11:12:30 AM) 
Phân tuyến trên Inside TQGTI.DANGNV&gt;&gt;(Nghiavm1.tin 21/09/2026 07:33:37 AM) 
</t>
  </si>
  <si>
    <t>26</t>
  </si>
  <si>
    <t>TQFD21667</t>
  </si>
  <si>
    <t>TUONG VAN NOI</t>
  </si>
  <si>
    <t>TQGPK0067Q7I:FPT Camera Combo</t>
  </si>
  <si>
    <t>20-09-2026 18:13:06</t>
  </si>
  <si>
    <t>TQGP008.0314/HO-6/6-G</t>
  </si>
  <si>
    <t>0858600063</t>
  </si>
  <si>
    <t>Tqfdl-211010-667</t>
  </si>
  <si>
    <t xml:space="preserve">kh di la,o HN chua ve khi nao vè kh lien he lqi de lap dat&gt;&gt;(TQGTI.TUNGDT4 23/09/2026 02:34:32 PM) 
</t>
  </si>
  <si>
    <t>27</t>
  </si>
  <si>
    <t>TQLS00116</t>
  </si>
  <si>
    <t>Pham Anh Hung</t>
  </si>
  <si>
    <t>SDWAN 70</t>
  </si>
  <si>
    <t>SDWAN70_88090:SDWAN70</t>
  </si>
  <si>
    <t>21-09-2026 09:01:25</t>
  </si>
  <si>
    <t>TQGP013.0053/HO-1/1-G</t>
  </si>
  <si>
    <t>LyTT11</t>
  </si>
  <si>
    <t>25-09-2026 15:30:00</t>
  </si>
  <si>
    <t>TQfdl-260916-116</t>
  </si>
  <si>
    <t xml:space="preserve">Phân tuyến trên Inside TQGTI.QUANDM2&gt;&gt;(Nghiavm1.tin 24/09/2026 09:50:29 AM) 
Phân tuyến trên Inside TQGTI.ANHPH3&gt;&gt;(Nghiavm1.tin 23/09/2026 07:54:49 AM) 
</t>
  </si>
  <si>
    <t>28</t>
  </si>
  <si>
    <t>TQLS00115</t>
  </si>
  <si>
    <t>SDWAN70_88089:SDWAN70</t>
  </si>
  <si>
    <t>21-09-2026 09:13:44</t>
  </si>
  <si>
    <t>TQGP031.0136/HO-2/2-G</t>
  </si>
  <si>
    <t>TQfdl-260916-115</t>
  </si>
  <si>
    <t>29</t>
  </si>
  <si>
    <t>TQAAF1819</t>
  </si>
  <si>
    <t>Dang Van Trung</t>
  </si>
  <si>
    <t>TQGPL0068019:FPT Camera Combo, FPT Play, Internet</t>
  </si>
  <si>
    <t>21-09-2026 10:35:22</t>
  </si>
  <si>
    <t>TQGP029.0384/HO-6/6-G</t>
  </si>
  <si>
    <t>tqg.thutt45</t>
  </si>
  <si>
    <t>Tqfdl-260921-1819</t>
  </si>
  <si>
    <t xml:space="preserve">Phân tuyến trên Inside TQGTI.HUNGCV4&gt;&gt;(Hahh.tin 22/09/2026 08:41:10 AM) 
</t>
  </si>
  <si>
    <t>30</t>
  </si>
  <si>
    <t>TQAAF1858</t>
  </si>
  <si>
    <t xml:space="preserve">Ban Duc The </t>
  </si>
  <si>
    <t>TQGPL00680D7:FPT Camera Combo, FPT Play, Internet</t>
  </si>
  <si>
    <t>21-09-2026 10:59:56</t>
  </si>
  <si>
    <t>TQGP009.0350/HO-1/1-G</t>
  </si>
  <si>
    <t>tqg.dunght29</t>
  </si>
  <si>
    <t>Tqfdl-260921-1858</t>
  </si>
  <si>
    <t>31</t>
  </si>
  <si>
    <t>TQAAE0085</t>
  </si>
  <si>
    <t>Phuong My Lam-001- L01</t>
  </si>
  <si>
    <t>NGUYEN HONG LOAN</t>
  </si>
  <si>
    <t>TQGPL00680FM:FPT Camera Combo</t>
  </si>
  <si>
    <t>21-09-2026 11:04:47</t>
  </si>
  <si>
    <t>TQGP013.0239/HO-10/10-G</t>
  </si>
  <si>
    <t>hni.huongttt50</t>
  </si>
  <si>
    <t>Tqfdl-251022-0085</t>
  </si>
  <si>
    <t xml:space="preserve">kt lhe khg knm, kt qua nha khg chi co ba o nha. chd di lam xa. k co nha, kt tich hen lai&gt;&gt;(TQGTI.QUANDM2 24/09/2026 10:25:11 AM) 
</t>
  </si>
  <si>
    <t>32</t>
  </si>
  <si>
    <t>TQAAF1904</t>
  </si>
  <si>
    <t>Nguyen Tung Lam</t>
  </si>
  <si>
    <t>TQGPL00684EY:FPT Play, Internet</t>
  </si>
  <si>
    <t>21-09-2026 17:51:36</t>
  </si>
  <si>
    <t>TQGP004.0182/HO-2/2-G</t>
  </si>
  <si>
    <t>tqg.anhpl2</t>
  </si>
  <si>
    <t>Tqfdl-260921-1904</t>
  </si>
  <si>
    <t xml:space="preserve">Phân tuyến trên Inside TQGTI.NAMVD2&gt;&gt;(Nghiavm1.tin 22/09/2026 07:39:02 AM) 
</t>
  </si>
  <si>
    <t>33</t>
  </si>
  <si>
    <t>TQAAF1878</t>
  </si>
  <si>
    <t>Phuong My Lam-001- L03</t>
  </si>
  <si>
    <t>Vuong Van Phu</t>
  </si>
  <si>
    <t>TQGPL00684OI:FPT Camera Combo, FPT Play, Internet</t>
  </si>
  <si>
    <t>21-09-2026 18:20:00</t>
  </si>
  <si>
    <t>TQGP013.0223/HO-V/V-G</t>
  </si>
  <si>
    <t>Tqfdl-260921-1878</t>
  </si>
  <si>
    <t xml:space="preserve">chua xly kip&gt;&gt;(TQGTI.ANHPH3 23/09/2026 05:24:45 PM) 
chua xly kip&gt;&gt;(TQGTI.ANHPH3 23/09/2026 11:48:10 AM) 
kh vắng nhà&gt;&gt;(TQGTI.THANHNV8 22/09/2026 09:13:34 AM) 
Phân tuyến trên Inside TQGTI.THANHNV8&gt;&gt;(Nghiavm1.tin 22/09/2026 08:46:43 AM) 
</t>
  </si>
  <si>
    <t>34</t>
  </si>
  <si>
    <t>TQD000999</t>
  </si>
  <si>
    <t>Chau Van Thach</t>
  </si>
  <si>
    <t>TQGPL006858C:Sản phẩm khác</t>
  </si>
  <si>
    <t>21-09-2026 19:33:55</t>
  </si>
  <si>
    <t>Khách hàng mua/đổi thiết bị</t>
  </si>
  <si>
    <t>TQGP004.0186/HO-8/8-G</t>
  </si>
  <si>
    <t>hni.tin.ngocbtb1</t>
  </si>
  <si>
    <t>Tqdsl-140711-999</t>
  </si>
  <si>
    <t>35</t>
  </si>
  <si>
    <t>TQAAF1832</t>
  </si>
  <si>
    <t>Xa Dong Tho-001- L02</t>
  </si>
  <si>
    <t>NGUYEN VAN LUU</t>
  </si>
  <si>
    <t>TQGPL00685JH:FPT Play, Internet</t>
  </si>
  <si>
    <t>21-09-2026 20:45:16</t>
  </si>
  <si>
    <t>TQGP032.0329/HO-V/V-G</t>
  </si>
  <si>
    <t>qnh.hoangbt6</t>
  </si>
  <si>
    <t>Tqfdl-260921-1832</t>
  </si>
  <si>
    <t>36</t>
  </si>
  <si>
    <t>TQAAF1851</t>
  </si>
  <si>
    <t>Xa Nhu Khe-001- L02</t>
  </si>
  <si>
    <t>Nguyen Thi Minh Tam</t>
  </si>
  <si>
    <t>TQGPL00685QY:Internet</t>
  </si>
  <si>
    <t>21-09-2026 21:09:36</t>
  </si>
  <si>
    <t>TQGP016.0131/HO-1/1-G</t>
  </si>
  <si>
    <t>hcm.nguyenndk</t>
  </si>
  <si>
    <t>Tqfdl-260921-1851</t>
  </si>
  <si>
    <t xml:space="preserve">khg bao k ai ở nhà hẹn mai có ng ở nhà sẽ nhắn lại&gt;&gt;(TQGTI.KHANHLQ1 24/09/2026 08:59:30 AM) 
</t>
  </si>
  <si>
    <t>37</t>
  </si>
  <si>
    <t>TQAAF0835</t>
  </si>
  <si>
    <t>Hoang Huy Hung</t>
  </si>
  <si>
    <t>SSR-TQAAF0835-TDDDAM220926YFX1:Internet</t>
  </si>
  <si>
    <t>22-09-2026 08:27:41</t>
  </si>
  <si>
    <t>TQGP022.0319/HO-1/1-G</t>
  </si>
  <si>
    <t>LyHK7</t>
  </si>
  <si>
    <t>Tqfdl-260821-0835</t>
  </si>
  <si>
    <t>38</t>
  </si>
  <si>
    <t>TQFD22130</t>
  </si>
  <si>
    <t>BAN THI HOI</t>
  </si>
  <si>
    <t>TQGPM0068BAI:FPT Camera Combo</t>
  </si>
  <si>
    <t>22-09-2026 09:19:10</t>
  </si>
  <si>
    <t>TQGP008.0225/HO-5/5-G</t>
  </si>
  <si>
    <t>hni.quyennt85</t>
  </si>
  <si>
    <t>Tqfdl-211111-130</t>
  </si>
  <si>
    <t xml:space="preserve">kh hen mai lap dat&gt;&gt;(TQGTI.TUNGDT4 23/09/2026 02:28:28 PM) 
</t>
  </si>
  <si>
    <t>39</t>
  </si>
  <si>
    <t>TQAAF1884</t>
  </si>
  <si>
    <t>Xa Chiem Hoa-001- L01</t>
  </si>
  <si>
    <t>Seo Van Dai</t>
  </si>
  <si>
    <t>TQGPM0068C3L:FPT Camera Combo, Internet</t>
  </si>
  <si>
    <t>22-09-2026 10:18:17</t>
  </si>
  <si>
    <t>TQGP036.0345/HO-V/V-G</t>
  </si>
  <si>
    <t>Tqfdl-260922-1884</t>
  </si>
  <si>
    <t xml:space="preserve">Phân tuyến trên Inside TQGTI.HUNGDQ5&gt;&gt;(Hahh.tin 23/09/2026 09:41:19 PM) 
</t>
  </si>
  <si>
    <t>40</t>
  </si>
  <si>
    <t>TQAAF1890</t>
  </si>
  <si>
    <t>Xa Son Duong-001- L01</t>
  </si>
  <si>
    <t>Dam Thi Thanh Van</t>
  </si>
  <si>
    <t>TQGPM0068C6R:FPT Camera Combo, FPT Play, Internet</t>
  </si>
  <si>
    <t>22-09-2026 10:25:40</t>
  </si>
  <si>
    <t>TQGP022.0262/HO-2/2-G</t>
  </si>
  <si>
    <t>tqg.thangtv40</t>
  </si>
  <si>
    <t>Tqfdl-260922-1890</t>
  </si>
  <si>
    <t>41</t>
  </si>
  <si>
    <t>TQAAF1911</t>
  </si>
  <si>
    <t>Quan Van Ngo</t>
  </si>
  <si>
    <t>TQGPM0068CW9:FPT Camera Combo, FPT Play, Internet</t>
  </si>
  <si>
    <t>22-09-2026 11:23:14</t>
  </si>
  <si>
    <t>tqg.hieplv12</t>
  </si>
  <si>
    <t>Tqfdl-260922-1911</t>
  </si>
  <si>
    <t xml:space="preserve">kt liên hệ khg. khg báo dg đi làm việc xa nhà chưa tk dk&gt;&gt;(TQGTI.HOANQV 23/09/2026 02:48:12 PM) 
</t>
  </si>
  <si>
    <t>42</t>
  </si>
  <si>
    <t>TQAAF1914</t>
  </si>
  <si>
    <t>Xa Ham Yen-001- L03</t>
  </si>
  <si>
    <t>Dang Van Quan</t>
  </si>
  <si>
    <t>TQGPM0068EO1:FPT Camera Combo, Internet</t>
  </si>
  <si>
    <t>22-09-2026 14:39:11</t>
  </si>
  <si>
    <t>TQGP028.0418/HO-7/7-G</t>
  </si>
  <si>
    <t>Tqfdl-260922-1914</t>
  </si>
  <si>
    <t>43</t>
  </si>
  <si>
    <t>TQAAF1923</t>
  </si>
  <si>
    <t>Hua Van Hoi</t>
  </si>
  <si>
    <t>TQGPM0068EYX:FPT Camera Combo, FPT Play, Internet</t>
  </si>
  <si>
    <t>22-09-2026 15:13:21</t>
  </si>
  <si>
    <t>TQGP033.0379/HO-4/4-G</t>
  </si>
  <si>
    <t>Tqfdl-260922-1923</t>
  </si>
  <si>
    <t xml:space="preserve">Phân tuyến trên Inside TQGTI.TIENVT3&gt;&gt;(Hahh.tin 23/09/2026 09:35:03 PM) 
Phân tuyến trên Inside TQGTI.CHIENMM&gt;&gt;(Hahh.tin 22/09/2026 04:50:18 PM) 
</t>
  </si>
  <si>
    <t>44</t>
  </si>
  <si>
    <t>TQAAF1938</t>
  </si>
  <si>
    <t>Vi Thi Huyen</t>
  </si>
  <si>
    <t>TQGPM0068G3G:FPT Camera Combo, FPT Play, Internet</t>
  </si>
  <si>
    <t>22-09-2026 17:26:50</t>
  </si>
  <si>
    <t>tqg.linhnt356</t>
  </si>
  <si>
    <t>Tqfdl-260922-1938</t>
  </si>
  <si>
    <t xml:space="preserve">kh chưa xđ thời gian lắp đặt đang chờ sale care lại&gt;&gt;(TQGTI.HUNGDQ5 24/09/2026 12:52:24 PM) 
Phân tuyến trên Inside TQGTI.HUNGDQ5&gt;&gt;(Hahh.tin 23/09/2026 04:08:05 PM) 
</t>
  </si>
  <si>
    <t>45</t>
  </si>
  <si>
    <t>TQAAF1872</t>
  </si>
  <si>
    <t>Chau Thi Ngan</t>
  </si>
  <si>
    <t>TQGPM0068GET:FPT Camera Combo, FPT Play, Internet</t>
  </si>
  <si>
    <t>22-09-2026 18:09:57</t>
  </si>
  <si>
    <t>TQGP036.0321/HO-V/V-G</t>
  </si>
  <si>
    <t>Tqfdl-260922-1872</t>
  </si>
  <si>
    <t xml:space="preserve">Phân tuyến trên Inside TQGTI.HUNGDQ5&gt;&gt;(Hahh.tin 23/09/2026 07:44:58 AM) 
</t>
  </si>
  <si>
    <t>46</t>
  </si>
  <si>
    <t>TQAAF1853</t>
  </si>
  <si>
    <t>Xa Ham Yen-001- L01</t>
  </si>
  <si>
    <t>Vu Dinh Duc</t>
  </si>
  <si>
    <t>TQGPM0068H08:FPT Camera Combo, FPT Play, Internet</t>
  </si>
  <si>
    <t>22-09-2026 20:06:11</t>
  </si>
  <si>
    <t>TQGP024.0491/HO-V/V-G</t>
  </si>
  <si>
    <t>tqg.trungdv27</t>
  </si>
  <si>
    <t>Tqfdl-260922-1853</t>
  </si>
  <si>
    <t xml:space="preserve">Phân tuyến trên Inside TQGTI.TUANLQ2&gt;&gt;(Hahh.tin 23/09/2026 09:30:28 PM) 
Phân tuyến trên Inside TQGTI.TIENVT3&gt;&gt;(Hahh.tin 23/09/2026 08:35:43 AM) 
</t>
  </si>
  <si>
    <t>47</t>
  </si>
  <si>
    <t>TQAAF1917</t>
  </si>
  <si>
    <t>Ly Duc Binh</t>
  </si>
  <si>
    <t>TQGPM0068HEN:FPT Camera Combo, Internet</t>
  </si>
  <si>
    <t>22-09-2026 21:58:02</t>
  </si>
  <si>
    <t>TQGP029.0115/HO-1/1-G</t>
  </si>
  <si>
    <t>qnh.hoangnv164</t>
  </si>
  <si>
    <t>26-09-2026 17:30:00</t>
  </si>
  <si>
    <t>Tqfdl-260922-1917</t>
  </si>
  <si>
    <t>48</t>
  </si>
  <si>
    <t>TQAAF1883</t>
  </si>
  <si>
    <t>Dang Van Vy</t>
  </si>
  <si>
    <t>TQGPN0068OX3:FPT Camera Combo, FPT Play, Internet</t>
  </si>
  <si>
    <t>23-09-2026 09:10:17</t>
  </si>
  <si>
    <t>TQGP013.0166/HO-2/2-G</t>
  </si>
  <si>
    <t>tqg.tranghk4</t>
  </si>
  <si>
    <t>Tqfdl-260923-1883</t>
  </si>
  <si>
    <t>49</t>
  </si>
  <si>
    <t>TQFD09083</t>
  </si>
  <si>
    <t>NGUYEN VAN BIEN</t>
  </si>
  <si>
    <t>Ngưng vì lý do thanh toán</t>
  </si>
  <si>
    <t>SSR-TQFD09083-TDDDNN220926PB02:FPT Play, Internet</t>
  </si>
  <si>
    <t>23-09-2026 09:32:42</t>
  </si>
  <si>
    <t>TQGP013.0054/HO-16/16-G</t>
  </si>
  <si>
    <t>HuongTT33</t>
  </si>
  <si>
    <t>Tqfdl-190117-083</t>
  </si>
  <si>
    <t xml:space="preserve">Phân tuyến trên Inside TQGTI.QUANDM2&gt;&gt;(Nghiavm1.tin 24/09/2026 07:37:16 AM) 
</t>
  </si>
  <si>
    <t>50</t>
  </si>
  <si>
    <t>TQAAF1905</t>
  </si>
  <si>
    <t>NGUYEN VAN CUONG</t>
  </si>
  <si>
    <t>TQGPN0068Q0Q:FPT Play, Internet</t>
  </si>
  <si>
    <t>23-09-2026 09:43:13</t>
  </si>
  <si>
    <t>TQGP005.0178/HO-1/1-G</t>
  </si>
  <si>
    <t>bgg.thuongtth20</t>
  </si>
  <si>
    <t>Tqfdl-260923-1905</t>
  </si>
  <si>
    <t xml:space="preserve">Phân tuyến trên Inside TQGTI.CUHA&gt;&gt;(longtt.tin 23/09/2026 11:16:07 AM) 
</t>
  </si>
  <si>
    <t>51</t>
  </si>
  <si>
    <t>TQAAF1937</t>
  </si>
  <si>
    <t>Xa Son Duong-001- L02</t>
  </si>
  <si>
    <t>DUONG VAN NAM</t>
  </si>
  <si>
    <t>TQGPN0068RG4:Internet</t>
  </si>
  <si>
    <t>23-09-2026 10:26:18</t>
  </si>
  <si>
    <t>TQGP012.0099/HO-7/7-G</t>
  </si>
  <si>
    <t>tqg.phuongntb24</t>
  </si>
  <si>
    <t>Tqfdl-260923-1937</t>
  </si>
  <si>
    <t>52</t>
  </si>
  <si>
    <t>TQAAA1822</t>
  </si>
  <si>
    <t>Xa Son Duong-001- L03</t>
  </si>
  <si>
    <t>HOANG VAN BAC</t>
  </si>
  <si>
    <t>TQGPN0068RW6:FPT Camera Combo</t>
  </si>
  <si>
    <t>23-09-2026 11:10:31</t>
  </si>
  <si>
    <t>TQGP012.0218/HO-2/2-G</t>
  </si>
  <si>
    <t>hni.haivt9</t>
  </si>
  <si>
    <t>Tqfdl-220331-1822</t>
  </si>
  <si>
    <t>53</t>
  </si>
  <si>
    <t>TQAAF1942</t>
  </si>
  <si>
    <t>NGUYEN THI LAN</t>
  </si>
  <si>
    <t>TQGPN0068RZE:FPT Camera Combo, FPT Play, Internet</t>
  </si>
  <si>
    <t>23-09-2026 11:16:35</t>
  </si>
  <si>
    <t>TQGP001.0073/HO-3/3-G</t>
  </si>
  <si>
    <t>hni.habtt23</t>
  </si>
  <si>
    <t>Tqfdl-260923-1942</t>
  </si>
  <si>
    <t xml:space="preserve">goi kh toan thue bao&gt;&gt;(TQGTI.CUHA 24/09/2026 09:07:40 AM) 
</t>
  </si>
  <si>
    <t>54</t>
  </si>
  <si>
    <t>TQAAF1946</t>
  </si>
  <si>
    <t>Phuong An Tuong-001- L01</t>
  </si>
  <si>
    <t>Ngo Thi Thu Hien</t>
  </si>
  <si>
    <t>TQGPN0068RZR:FPT Camera Combo, FPT Play, Internet</t>
  </si>
  <si>
    <t>23-09-2026 11:21:16</t>
  </si>
  <si>
    <t>TQGP007.0068/HO-6/6-G</t>
  </si>
  <si>
    <t>hni.anhnq121</t>
  </si>
  <si>
    <t>29-09-2026 17:30:00</t>
  </si>
  <si>
    <t>Tqfdl-260923-1946</t>
  </si>
  <si>
    <t xml:space="preserve">full năng lực kt hẹn kh mai qua triển khai kh ok&gt;&gt;(TQGTI.CUONGLM8 23/09/2026 01:20:46 PM) 
</t>
  </si>
  <si>
    <t>55</t>
  </si>
  <si>
    <t>TQAAF1951</t>
  </si>
  <si>
    <t xml:space="preserve">Dinh Thi Phuong </t>
  </si>
  <si>
    <t>TQGPN0068S3C:FPT Play, Internet</t>
  </si>
  <si>
    <t>23-09-2026 11:28:28</t>
  </si>
  <si>
    <t>tqg.truonght2</t>
  </si>
  <si>
    <t>Tqfdl-260923-1951</t>
  </si>
  <si>
    <t>56</t>
  </si>
  <si>
    <t>TQAAF1954</t>
  </si>
  <si>
    <t>NINH VAN KHUONG</t>
  </si>
  <si>
    <t>TQGPN0068S5A:FPT Play, Internet</t>
  </si>
  <si>
    <t>23-09-2026 11:33:29</t>
  </si>
  <si>
    <t>TQGP030.0069/HO-2/2-G</t>
  </si>
  <si>
    <t>Tqfdl-260923-1954</t>
  </si>
  <si>
    <t>57</t>
  </si>
  <si>
    <t>TQAAF1960</t>
  </si>
  <si>
    <t>Ly Van Be</t>
  </si>
  <si>
    <t>TQGPN0068SJD:FPT Camera Combo, FPT Play, Internet</t>
  </si>
  <si>
    <t>23-09-2026 12:21:58</t>
  </si>
  <si>
    <t>TQGP008.0226/HO-8/8-G</t>
  </si>
  <si>
    <t>tqg.cuongvn9</t>
  </si>
  <si>
    <t>Tqfdl-260923-1960</t>
  </si>
  <si>
    <t>58</t>
  </si>
  <si>
    <t>TQAAF1963</t>
  </si>
  <si>
    <t>Le Hong Thai</t>
  </si>
  <si>
    <t>TQGPN0068SLO:FPT Play, Internet</t>
  </si>
  <si>
    <t>23-09-2026 12:33:03</t>
  </si>
  <si>
    <t>TQGP002.0104/HO-V/V-G</t>
  </si>
  <si>
    <t>hdg.thangtv53</t>
  </si>
  <si>
    <t>Tqfdl-260923-1963</t>
  </si>
  <si>
    <t xml:space="preserve">kh hen chieu&gt;&gt;(TQGTI.QUANDM2 24/09/2026 11:27:03 AM) 
</t>
  </si>
  <si>
    <t>59</t>
  </si>
  <si>
    <t>TQFD10775</t>
  </si>
  <si>
    <t>LE THI THOM</t>
  </si>
  <si>
    <t>TQGPN0068SM2:Sản phẩm khác</t>
  </si>
  <si>
    <t>23-09-2026 12:35:22</t>
  </si>
  <si>
    <t>TQGP013.0033/HO-3/3-G</t>
  </si>
  <si>
    <t>tin.nhungpc</t>
  </si>
  <si>
    <t>Tqfdl-190712-775</t>
  </si>
  <si>
    <t>60</t>
  </si>
  <si>
    <t>TQAAF1892</t>
  </si>
  <si>
    <t>TRAN VAN LUU</t>
  </si>
  <si>
    <t>TQGPN0068TAP:Internet</t>
  </si>
  <si>
    <t>23-09-2026 14:34:41</t>
  </si>
  <si>
    <t>TQGP038.0025/HO-V/V-G</t>
  </si>
  <si>
    <t>Tqfdl-260923-1892</t>
  </si>
  <si>
    <t>61</t>
  </si>
  <si>
    <t>TQAAF1975</t>
  </si>
  <si>
    <t>MA THI NGA</t>
  </si>
  <si>
    <t>TQGPN0068TOK:FPT Camera Combo, FPT Play, Internet</t>
  </si>
  <si>
    <t>23-09-2026 15:23:19</t>
  </si>
  <si>
    <t>TQGP036.0347/HO-V/V-G</t>
  </si>
  <si>
    <t>Tqfdl-260923-1975</t>
  </si>
  <si>
    <t>62</t>
  </si>
  <si>
    <t>TQAAF1868</t>
  </si>
  <si>
    <t>Xa Ham Yen-001- L04</t>
  </si>
  <si>
    <t>Ma Thi Tam</t>
  </si>
  <si>
    <t>TQGPN0068S7P:FPT Camera Combo, FPT Play, Internet</t>
  </si>
  <si>
    <t>23-09-2026 15:29:34</t>
  </si>
  <si>
    <t>TQGP037.0144/HO-1/1-G</t>
  </si>
  <si>
    <t>tqg.quangtv30</t>
  </si>
  <si>
    <t>Tqfdl-260923-1868</t>
  </si>
  <si>
    <t>63</t>
  </si>
  <si>
    <t>TQAAF1981</t>
  </si>
  <si>
    <t>Ha Thi Thuan</t>
  </si>
  <si>
    <t>TQGPN0068TXK:Internet</t>
  </si>
  <si>
    <t>23-09-2026 15:50:52</t>
  </si>
  <si>
    <t>TQGP033.0235/HO-4/4-G</t>
  </si>
  <si>
    <t>Tqfdl-260923-1981</t>
  </si>
  <si>
    <t>64</t>
  </si>
  <si>
    <t>TQAAF1984</t>
  </si>
  <si>
    <t>Hoang Van Hai</t>
  </si>
  <si>
    <t>TQGPN0068U56:FPT Camera Combo, Internet</t>
  </si>
  <si>
    <t>23-09-2026 16:13:32</t>
  </si>
  <si>
    <t>TQGP036.0349/HO-V/V-G</t>
  </si>
  <si>
    <t>Tqfdl-260923-1984</t>
  </si>
  <si>
    <t xml:space="preserve">Phân tuyến trên Inside TQGTI.HOANQV&gt;&gt;(Hahh.tin 23/09/2026 09:42:20 PM) 
</t>
  </si>
  <si>
    <t>65</t>
  </si>
  <si>
    <t>TQAAF1987</t>
  </si>
  <si>
    <t>Phuong Minh Xuan-001- L02</t>
  </si>
  <si>
    <t>Luong Thi Thu Hang</t>
  </si>
  <si>
    <t>TQGPN0068U9N:FPT Camera Combo, FPT Play, Internet</t>
  </si>
  <si>
    <t>23-09-2026 16:28:43</t>
  </si>
  <si>
    <t>TQGP006.0194/HO-5/5-G</t>
  </si>
  <si>
    <t>24-09-2026 10:00:00</t>
  </si>
  <si>
    <t>Tqfdl-260923-1987</t>
  </si>
  <si>
    <t>66</t>
  </si>
  <si>
    <t>TQAAF1990</t>
  </si>
  <si>
    <t>Xa Nhu Khe-001- L01</t>
  </si>
  <si>
    <t>VUONG THI LUAN</t>
  </si>
  <si>
    <t>TQGPN0068UH5:FPT Camera Combo, FPT Play, Internet</t>
  </si>
  <si>
    <t>23-09-2026 16:53:58</t>
  </si>
  <si>
    <t>TQGP005.0202/HO-5/5-G</t>
  </si>
  <si>
    <t>hni.daind8</t>
  </si>
  <si>
    <t>Tqfdl-260923-1990</t>
  </si>
  <si>
    <t>67</t>
  </si>
  <si>
    <t>TQAAF1985</t>
  </si>
  <si>
    <t>Quan Thi Hoa</t>
  </si>
  <si>
    <t>TQGPN0068UP0:FPT Camera Combo, FPT Play, Internet</t>
  </si>
  <si>
    <t>23-09-2026 17:27:13</t>
  </si>
  <si>
    <t>TQGP036.0201/HO-V/V-G</t>
  </si>
  <si>
    <t>Tqfdl-260923-1985</t>
  </si>
  <si>
    <t>68</t>
  </si>
  <si>
    <t>TQAAF1912</t>
  </si>
  <si>
    <t>Ma Thi Hong</t>
  </si>
  <si>
    <t>TQGPN0068W6S:FPT Camera Combo, Internet</t>
  </si>
  <si>
    <t>23-09-2026 21:40:01</t>
  </si>
  <si>
    <t>Tqfdl-260923-1912</t>
  </si>
  <si>
    <t>69</t>
  </si>
  <si>
    <t>TQAAF1902</t>
  </si>
  <si>
    <t>Ha Van Toi</t>
  </si>
  <si>
    <t>TQGPO0068YLQ:Internet</t>
  </si>
  <si>
    <t>24-09-2026 07:42:43</t>
  </si>
  <si>
    <t>TQGP002.0105/HO-V/V-G</t>
  </si>
  <si>
    <t>tqg.vuinv4</t>
  </si>
  <si>
    <t>Tqfdl-260924-1902</t>
  </si>
  <si>
    <t>70</t>
  </si>
  <si>
    <t>TQAAF1916</t>
  </si>
  <si>
    <t>Xa Phu Luong-001- L03</t>
  </si>
  <si>
    <t>NGUYEN HUONG QUYNH</t>
  </si>
  <si>
    <t>TQGPO0068ZBK:FPT Play, Internet</t>
  </si>
  <si>
    <t>24-09-2026 07:53:11</t>
  </si>
  <si>
    <t>TQGP027.0133/HO-1/1-G</t>
  </si>
  <si>
    <t>Tqfdl-260924-1916</t>
  </si>
  <si>
    <t>71</t>
  </si>
  <si>
    <t>TQAAA7509</t>
  </si>
  <si>
    <t>LA TIEN TRONG</t>
  </si>
  <si>
    <t>SSR-TQAAA7509-TDDDAM24092627BU:Internet</t>
  </si>
  <si>
    <t>24-09-2026 08:14:31</t>
  </si>
  <si>
    <t>TQGP012.0068/HO-4/4-G</t>
  </si>
  <si>
    <t>UyenHT15</t>
  </si>
  <si>
    <t>Tqfdl-230114-7509</t>
  </si>
  <si>
    <t>72</t>
  </si>
  <si>
    <t>TQAAF1924</t>
  </si>
  <si>
    <t>MA DUC HUNG</t>
  </si>
  <si>
    <t>TQGPN0068V16:FPT Camera Combo, FPT Play, Internet</t>
  </si>
  <si>
    <t>24-09-2026 08:29:46</t>
  </si>
  <si>
    <t>Tqfdl-260924-1924</t>
  </si>
  <si>
    <t>73</t>
  </si>
  <si>
    <t>TQAAC0419</t>
  </si>
  <si>
    <t>HOANG THI THOA</t>
  </si>
  <si>
    <t>TQGPO00693GM:FPT Camera Combo</t>
  </si>
  <si>
    <t>24-09-2026 09:17:38</t>
  </si>
  <si>
    <t>TQGP022.0193/HO-1/1-G</t>
  </si>
  <si>
    <t>hni.anhtm12</t>
  </si>
  <si>
    <t>27-09-2026 12:00:00</t>
  </si>
  <si>
    <t>Tqfdl-241109-0419</t>
  </si>
  <si>
    <t>74</t>
  </si>
  <si>
    <t>TQAAF1934</t>
  </si>
  <si>
    <t>Dinh Van Thong</t>
  </si>
  <si>
    <t>TQGPO00693MB:FPT Play, Internet</t>
  </si>
  <si>
    <t>24-09-2026 09:22:32</t>
  </si>
  <si>
    <t>TQGP006.0068/HO-10/10-G</t>
  </si>
  <si>
    <t>Tqfdl-260924-1934</t>
  </si>
  <si>
    <t>75</t>
  </si>
  <si>
    <t>TQAAF1943</t>
  </si>
  <si>
    <t>Nguyen Van Thai</t>
  </si>
  <si>
    <t>TQGPO00693SR:FPT Play, Internet</t>
  </si>
  <si>
    <t>24-09-2026 09:28:32</t>
  </si>
  <si>
    <t>TQGP013.0054/HO-9/9-G</t>
  </si>
  <si>
    <t>hcm.nhungpy</t>
  </si>
  <si>
    <t>Tqfdl-260924-1943</t>
  </si>
  <si>
    <t xml:space="preserve">Phân tuyến trên Inside TQGTI.THANHNV41&gt;&gt;(Nghiavm1.tin 24/09/2026 10:25:00 AM) 
</t>
  </si>
  <si>
    <t>76</t>
  </si>
  <si>
    <t>TQAAB8185</t>
  </si>
  <si>
    <t>NGUYEN TRUONG GIANG</t>
  </si>
  <si>
    <t>Đã chấm dứt hợp đồng</t>
  </si>
  <si>
    <t>TQGPO006944J:Internet</t>
  </si>
  <si>
    <t>24-09-2026 09:55:43</t>
  </si>
  <si>
    <t>tqg.uyenht15</t>
  </si>
  <si>
    <t>Tqfdl-240810-8185</t>
  </si>
  <si>
    <t xml:space="preserve">Phân tuyến trên Inside TQGTI.LUCMDC&gt;&gt;(Hahh.tin 24/09/2026 10:47:58 AM) 
Phân tuyến trên Inside TQGTI.TUANLQ2&gt;&gt;(Hahh.tin 24/09/2026 10:42:32 AM) 
</t>
  </si>
  <si>
    <t>77</t>
  </si>
  <si>
    <t>TQFD01682</t>
  </si>
  <si>
    <t>Nguyen Thi Mai</t>
  </si>
  <si>
    <t>TQGPO006944W:Internet</t>
  </si>
  <si>
    <t>24-09-2026 09:56:24</t>
  </si>
  <si>
    <t>tqg.tin.nghiavm1</t>
  </si>
  <si>
    <t>Tqfdl-160106-682</t>
  </si>
  <si>
    <t xml:space="preserve">Phân tuyến trên Inside TQGTI.GIANGLV2&gt;&gt;(Nghiavm1.tin 24/09/2026 10:05:54 AM) 
</t>
  </si>
  <si>
    <t>78</t>
  </si>
  <si>
    <t>TQAAF1875</t>
  </si>
  <si>
    <t>Nguyen Van Hoi</t>
  </si>
  <si>
    <t>TQGPO006910O:FPT Play, Internet</t>
  </si>
  <si>
    <t>24-09-2026 10:01:58</t>
  </si>
  <si>
    <t>Tqfdl-260923-1875</t>
  </si>
  <si>
    <t>79</t>
  </si>
  <si>
    <t>TQAAF1949</t>
  </si>
  <si>
    <t>NGUYEN THI LIEN</t>
  </si>
  <si>
    <t>TQGPO006950H:Internet</t>
  </si>
  <si>
    <t>24-09-2026 11:11:08</t>
  </si>
  <si>
    <t>TQGP024.0066/HO-2/2-G</t>
  </si>
  <si>
    <t>Tqfdl-260924-1949</t>
  </si>
  <si>
    <t>80</t>
  </si>
  <si>
    <t>TQAAF1956</t>
  </si>
  <si>
    <t>Khuat Thi Hang Ngan</t>
  </si>
  <si>
    <t>TQGPO00695B7:FPT Camera Combo, FPT Play, Internet</t>
  </si>
  <si>
    <t>24-09-2026 11:34:49</t>
  </si>
  <si>
    <t>TQGP009.0181/HO-4/4-G</t>
  </si>
  <si>
    <t>tqg.quyenhtl</t>
  </si>
  <si>
    <t>Tqfdl-260924-1956</t>
  </si>
  <si>
    <t>81</t>
  </si>
  <si>
    <t>TQAAF1961</t>
  </si>
  <si>
    <t>Nong Tien Tue</t>
  </si>
  <si>
    <t>TQGPO00695SX:FPT Camera Combo, Internet</t>
  </si>
  <si>
    <t>24-09-2026 12:35:51</t>
  </si>
  <si>
    <t>TQGP033.0231/HO-8/8-G</t>
  </si>
  <si>
    <t>Tqfdl-260924-1961</t>
  </si>
  <si>
    <t>82</t>
  </si>
  <si>
    <t>TQAAF1962</t>
  </si>
  <si>
    <t>Ha Thi Xam</t>
  </si>
  <si>
    <t>TQGPO00695TL:FPT Camera Combo, Internet</t>
  </si>
  <si>
    <t>24-09-2026 12:38:28</t>
  </si>
  <si>
    <t>TQGP033.0226/HO-8/8-G</t>
  </si>
  <si>
    <t>Tqfdl-260924-1962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</si>
</sst>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pplyBorder="0"/>
  </cellStyleXfs>
  <cellXfs count="4">
    <xf numFmtId="0" fontId="0" fillId="0" borderId="0" xfId="0" applyNumberFormat="1" applyFill="1" applyAlignment="1" applyProtection="1"/>
    <xf numFmtId="0" fontId="0" fillId="2" borderId="0" xfId="0" applyNumberFormat="1" applyFill="1" applyAlignment="1" applyProtection="1"/>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7"/>
  <sheetViews>
    <sheetView topLeftCell="N1" workbookViewId="0">
      <selection activeCell="AN1" sqref="AN1"/>
    </sheetView>
  </sheetViews>
  <sheetFormatPr defaultRowHeight="15" x14ac:dyDescent="0.25"/>
  <cols>
    <col min="5" max="5" width="9.140625" style="1"/>
    <col min="6" max="6" width="11.28515625" style="1" bestFit="1" customWidth="1"/>
    <col min="8" max="8" width="18.5703125" bestFit="1" customWidth="1"/>
    <col min="9" max="9" width="9.85546875" bestFit="1" customWidth="1"/>
    <col min="10" max="10" width="12.85546875" bestFit="1" customWidth="1"/>
    <col min="11" max="11" width="16.5703125" bestFit="1" customWidth="1"/>
    <col min="15" max="15" width="12.42578125" bestFit="1" customWidth="1"/>
    <col min="16" max="16" width="9.140625" style="1"/>
    <col min="19" max="19" width="18.140625" style="1" bestFit="1" customWidth="1"/>
    <col min="27" max="27" width="9.140625" style="1"/>
    <col min="38" max="39" width="9.140625" style="1"/>
    <col min="40" max="40" width="16" bestFit="1" customWidth="1"/>
  </cols>
  <sheetData>
    <row r="1" spans="1:40"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1" t="s">
        <v>518</v>
      </c>
      <c r="AM1" s="1" t="s">
        <v>519</v>
      </c>
      <c r="AN1" t="s">
        <v>522</v>
      </c>
    </row>
    <row r="2" spans="1:40" x14ac:dyDescent="0.25">
      <c r="A2" s="3">
        <v>1</v>
      </c>
      <c r="B2" s="3" t="s">
        <v>37</v>
      </c>
      <c r="C2" s="3" t="s">
        <v>38</v>
      </c>
      <c r="D2" s="3" t="s">
        <v>39</v>
      </c>
      <c r="E2" s="3" t="s">
        <v>40</v>
      </c>
      <c r="F2" s="3" t="s">
        <v>41</v>
      </c>
      <c r="G2" s="3" t="s">
        <v>42</v>
      </c>
      <c r="H2" s="3" t="s">
        <v>43</v>
      </c>
      <c r="I2" s="3">
        <v>196</v>
      </c>
      <c r="J2" s="3">
        <v>-171.86699999999999</v>
      </c>
      <c r="K2" s="3"/>
      <c r="L2" s="3" t="s">
        <v>44</v>
      </c>
      <c r="M2" s="3"/>
      <c r="N2" s="3" t="s">
        <v>45</v>
      </c>
      <c r="O2" s="3">
        <v>4</v>
      </c>
      <c r="P2" s="3">
        <v>1</v>
      </c>
      <c r="Q2" s="3" t="s">
        <v>46</v>
      </c>
      <c r="R2" s="3" t="s">
        <v>47</v>
      </c>
      <c r="S2" s="3" t="s">
        <v>48</v>
      </c>
      <c r="T2" s="3" t="s">
        <v>49</v>
      </c>
      <c r="U2" s="3" t="s">
        <v>50</v>
      </c>
      <c r="V2" s="3"/>
      <c r="W2" s="3" t="s">
        <v>51</v>
      </c>
      <c r="X2" s="3" t="s">
        <v>52</v>
      </c>
      <c r="Y2" s="3" t="s">
        <v>53</v>
      </c>
      <c r="Z2" s="3" t="s">
        <v>54</v>
      </c>
      <c r="AA2" s="3" t="s">
        <v>55</v>
      </c>
      <c r="AB2" s="3" t="s">
        <v>54</v>
      </c>
      <c r="AC2" s="3" t="s">
        <v>56</v>
      </c>
      <c r="AD2" s="3"/>
      <c r="AE2" s="3"/>
      <c r="AF2" s="3"/>
      <c r="AG2" s="3"/>
      <c r="AH2" s="3"/>
      <c r="AI2" s="3"/>
      <c r="AJ2" s="3"/>
      <c r="AK2" s="3"/>
      <c r="AL2" s="1" t="str">
        <f>LEFT(U2,7)</f>
        <v>TQGP008</v>
      </c>
      <c r="AN2" t="str">
        <f>VLOOKUP(S2,Sheet1!$C:$D,2,0)</f>
        <v>TRANGHT28</v>
      </c>
    </row>
    <row r="3" spans="1:40" x14ac:dyDescent="0.25">
      <c r="A3" s="3">
        <v>2</v>
      </c>
      <c r="B3" s="3" t="s">
        <v>37</v>
      </c>
      <c r="C3" s="3" t="s">
        <v>38</v>
      </c>
      <c r="D3" s="3" t="s">
        <v>39</v>
      </c>
      <c r="E3" s="3" t="s">
        <v>57</v>
      </c>
      <c r="F3" s="3" t="s">
        <v>58</v>
      </c>
      <c r="G3" s="3" t="s">
        <v>59</v>
      </c>
      <c r="H3" s="3" t="s">
        <v>60</v>
      </c>
      <c r="I3" s="3">
        <v>140</v>
      </c>
      <c r="J3" s="3">
        <v>-139.86699999999999</v>
      </c>
      <c r="K3" s="3" t="s">
        <v>44</v>
      </c>
      <c r="L3" s="3"/>
      <c r="M3" s="3" t="s">
        <v>45</v>
      </c>
      <c r="N3" s="3"/>
      <c r="O3" s="3">
        <v>2</v>
      </c>
      <c r="P3" s="3">
        <v>2</v>
      </c>
      <c r="Q3" s="3" t="s">
        <v>46</v>
      </c>
      <c r="R3" s="3" t="s">
        <v>61</v>
      </c>
      <c r="S3" s="3" t="s">
        <v>62</v>
      </c>
      <c r="T3" s="3" t="s">
        <v>49</v>
      </c>
      <c r="U3" s="3" t="s">
        <v>63</v>
      </c>
      <c r="V3" s="3"/>
      <c r="W3" s="3" t="s">
        <v>64</v>
      </c>
      <c r="X3" s="3" t="s">
        <v>65</v>
      </c>
      <c r="Y3" s="3" t="s">
        <v>66</v>
      </c>
      <c r="Z3" s="3" t="s">
        <v>54</v>
      </c>
      <c r="AA3" s="3" t="s">
        <v>55</v>
      </c>
      <c r="AB3" s="3" t="s">
        <v>67</v>
      </c>
      <c r="AC3" s="3" t="s">
        <v>68</v>
      </c>
      <c r="AD3" s="3"/>
      <c r="AE3" s="3"/>
      <c r="AF3" s="3"/>
      <c r="AG3" s="3"/>
      <c r="AH3" s="3"/>
      <c r="AI3" s="3"/>
      <c r="AJ3" s="3"/>
      <c r="AK3" s="3"/>
      <c r="AL3" s="1" t="str">
        <f>LEFT(U3,7)</f>
        <v>TQGP030</v>
      </c>
      <c r="AN3" t="str">
        <f>VLOOKUP(S3,Sheet1!$C:$D,2,0)</f>
        <v>TQG.HANGVTT12</v>
      </c>
    </row>
    <row r="4" spans="1:40" x14ac:dyDescent="0.25">
      <c r="A4" s="3">
        <v>3</v>
      </c>
      <c r="B4" s="3" t="s">
        <v>37</v>
      </c>
      <c r="C4" s="3" t="s">
        <v>38</v>
      </c>
      <c r="D4" s="3" t="s">
        <v>39</v>
      </c>
      <c r="E4" s="3" t="s">
        <v>69</v>
      </c>
      <c r="F4" s="3" t="s">
        <v>70</v>
      </c>
      <c r="G4" s="3" t="s">
        <v>71</v>
      </c>
      <c r="H4" s="3" t="s">
        <v>72</v>
      </c>
      <c r="I4" s="3">
        <v>88</v>
      </c>
      <c r="J4" s="3">
        <v>-83.917000000000002</v>
      </c>
      <c r="K4" s="3"/>
      <c r="L4" s="3" t="s">
        <v>73</v>
      </c>
      <c r="M4" s="3"/>
      <c r="N4" s="3" t="s">
        <v>45</v>
      </c>
      <c r="O4" s="3">
        <v>5</v>
      </c>
      <c r="P4" s="3">
        <v>0</v>
      </c>
      <c r="Q4" s="3" t="s">
        <v>46</v>
      </c>
      <c r="R4" s="3" t="s">
        <v>47</v>
      </c>
      <c r="S4" s="3" t="s">
        <v>75</v>
      </c>
      <c r="T4" s="3" t="s">
        <v>76</v>
      </c>
      <c r="U4" s="3" t="s">
        <v>77</v>
      </c>
      <c r="V4" s="3"/>
      <c r="W4" s="3" t="s">
        <v>78</v>
      </c>
      <c r="X4" s="3"/>
      <c r="Y4" s="3" t="s">
        <v>66</v>
      </c>
      <c r="Z4" s="3" t="s">
        <v>54</v>
      </c>
      <c r="AA4" s="3" t="s">
        <v>79</v>
      </c>
      <c r="AB4" s="3" t="s">
        <v>54</v>
      </c>
      <c r="AC4" s="3" t="s">
        <v>80</v>
      </c>
      <c r="AD4" s="3"/>
      <c r="AE4" s="3"/>
      <c r="AF4" s="3"/>
      <c r="AG4" s="3"/>
      <c r="AH4" s="3"/>
      <c r="AI4" s="3"/>
      <c r="AJ4" s="3"/>
      <c r="AK4" s="3"/>
      <c r="AL4" s="1" t="str">
        <f>LEFT(U4,7)</f>
        <v>TQGP014</v>
      </c>
      <c r="AN4" t="str">
        <f>VLOOKUP(S4,Sheet1!$C:$D,2,0)</f>
        <v>ANHHV15</v>
      </c>
    </row>
    <row r="5" spans="1:40" x14ac:dyDescent="0.25">
      <c r="A5" s="3">
        <v>4</v>
      </c>
      <c r="B5" s="3" t="s">
        <v>37</v>
      </c>
      <c r="C5" s="3" t="s">
        <v>38</v>
      </c>
      <c r="D5" s="3" t="s">
        <v>39</v>
      </c>
      <c r="E5" s="3" t="s">
        <v>81</v>
      </c>
      <c r="F5" s="3" t="s">
        <v>82</v>
      </c>
      <c r="G5" s="3" t="s">
        <v>83</v>
      </c>
      <c r="H5" s="3" t="s">
        <v>84</v>
      </c>
      <c r="I5" s="3">
        <v>68</v>
      </c>
      <c r="J5" s="3">
        <v>-67.867000000000004</v>
      </c>
      <c r="K5" s="3" t="s">
        <v>85</v>
      </c>
      <c r="L5" s="3"/>
      <c r="M5" s="3" t="s">
        <v>45</v>
      </c>
      <c r="N5" s="3"/>
      <c r="O5" s="3">
        <v>2</v>
      </c>
      <c r="P5" s="3">
        <v>1</v>
      </c>
      <c r="Q5" s="3" t="s">
        <v>46</v>
      </c>
      <c r="R5" s="3" t="s">
        <v>86</v>
      </c>
      <c r="S5" s="3" t="s">
        <v>87</v>
      </c>
      <c r="T5" s="3" t="s">
        <v>49</v>
      </c>
      <c r="U5" s="3" t="s">
        <v>88</v>
      </c>
      <c r="V5" s="3"/>
      <c r="W5" s="3" t="s">
        <v>89</v>
      </c>
      <c r="X5" s="3" t="s">
        <v>90</v>
      </c>
      <c r="Y5" s="3" t="s">
        <v>53</v>
      </c>
      <c r="Z5" s="3" t="s">
        <v>54</v>
      </c>
      <c r="AA5" s="3" t="s">
        <v>55</v>
      </c>
      <c r="AB5" s="3" t="s">
        <v>54</v>
      </c>
      <c r="AC5" s="3" t="s">
        <v>91</v>
      </c>
      <c r="AD5" s="3"/>
      <c r="AE5" s="3"/>
      <c r="AF5" s="3"/>
      <c r="AG5" s="3"/>
      <c r="AH5" s="3"/>
      <c r="AI5" s="3"/>
      <c r="AJ5" s="3"/>
      <c r="AK5" s="3"/>
      <c r="AL5" s="1" t="str">
        <f>LEFT(U5,7)</f>
        <v>TQGP005</v>
      </c>
      <c r="AN5" t="str">
        <f>VLOOKUP(S5,Sheet1!$C:$D,2,0)</f>
        <v>ANHHV15</v>
      </c>
    </row>
    <row r="6" spans="1:40" x14ac:dyDescent="0.25">
      <c r="A6" s="3">
        <v>5</v>
      </c>
      <c r="B6" s="3" t="s">
        <v>37</v>
      </c>
      <c r="C6" s="3" t="s">
        <v>38</v>
      </c>
      <c r="D6" s="3" t="s">
        <v>39</v>
      </c>
      <c r="E6" s="3" t="s">
        <v>69</v>
      </c>
      <c r="F6" s="3" t="s">
        <v>92</v>
      </c>
      <c r="G6" s="3" t="s">
        <v>93</v>
      </c>
      <c r="H6" s="3" t="s">
        <v>94</v>
      </c>
      <c r="I6" s="3">
        <v>27</v>
      </c>
      <c r="J6" s="3">
        <v>-27.367000000000001</v>
      </c>
      <c r="K6" s="3" t="s">
        <v>95</v>
      </c>
      <c r="L6" s="3"/>
      <c r="M6" s="3" t="s">
        <v>96</v>
      </c>
      <c r="N6" s="3"/>
      <c r="O6" s="3">
        <v>1</v>
      </c>
      <c r="P6" s="3">
        <v>0</v>
      </c>
      <c r="Q6" s="3" t="s">
        <v>46</v>
      </c>
      <c r="R6" s="3" t="s">
        <v>47</v>
      </c>
      <c r="S6" s="3" t="s">
        <v>75</v>
      </c>
      <c r="T6" s="3" t="s">
        <v>49</v>
      </c>
      <c r="U6" s="3" t="s">
        <v>97</v>
      </c>
      <c r="V6" s="3"/>
      <c r="W6" s="3" t="s">
        <v>98</v>
      </c>
      <c r="X6" s="3"/>
      <c r="Y6" s="3" t="s">
        <v>53</v>
      </c>
      <c r="Z6" s="3" t="s">
        <v>54</v>
      </c>
      <c r="AA6" s="3" t="s">
        <v>79</v>
      </c>
      <c r="AB6" s="3" t="s">
        <v>54</v>
      </c>
      <c r="AC6" s="3" t="s">
        <v>80</v>
      </c>
      <c r="AD6" s="3"/>
      <c r="AE6" s="3"/>
      <c r="AF6" s="3"/>
      <c r="AG6" s="3"/>
      <c r="AH6" s="3"/>
      <c r="AI6" s="3"/>
      <c r="AJ6" s="3"/>
      <c r="AK6" s="3"/>
      <c r="AL6" s="1" t="str">
        <f>LEFT(U6,7)</f>
        <v>TQGP014</v>
      </c>
      <c r="AN6" t="str">
        <f>VLOOKUP(S6,Sheet1!$C:$D,2,0)</f>
        <v>ANHHV15</v>
      </c>
    </row>
    <row r="7" spans="1:40" x14ac:dyDescent="0.25">
      <c r="A7" s="3">
        <v>6</v>
      </c>
      <c r="B7" s="3" t="s">
        <v>37</v>
      </c>
      <c r="C7" s="3" t="s">
        <v>38</v>
      </c>
      <c r="D7" s="3" t="s">
        <v>39</v>
      </c>
      <c r="E7" s="3" t="s">
        <v>535</v>
      </c>
      <c r="F7" s="3" t="s">
        <v>99</v>
      </c>
      <c r="G7" s="3" t="s">
        <v>100</v>
      </c>
      <c r="H7" s="3" t="s">
        <v>101</v>
      </c>
      <c r="I7" s="3">
        <v>27</v>
      </c>
      <c r="J7" s="3">
        <v>-27.367000000000001</v>
      </c>
      <c r="K7" s="3" t="s">
        <v>95</v>
      </c>
      <c r="L7" s="3"/>
      <c r="M7" s="3" t="s">
        <v>96</v>
      </c>
      <c r="N7" s="3"/>
      <c r="O7" s="3">
        <v>2</v>
      </c>
      <c r="P7" s="3">
        <v>0</v>
      </c>
      <c r="Q7" s="3" t="s">
        <v>46</v>
      </c>
      <c r="R7" s="3" t="s">
        <v>86</v>
      </c>
      <c r="S7" s="3" t="s">
        <v>536</v>
      </c>
      <c r="T7" s="3" t="s">
        <v>160</v>
      </c>
      <c r="U7" s="3" t="s">
        <v>103</v>
      </c>
      <c r="V7" s="3"/>
      <c r="W7" s="3" t="s">
        <v>104</v>
      </c>
      <c r="X7" s="3"/>
      <c r="Y7" s="3" t="s">
        <v>53</v>
      </c>
      <c r="Z7" s="3" t="s">
        <v>54</v>
      </c>
      <c r="AA7" s="3" t="s">
        <v>55</v>
      </c>
      <c r="AB7" s="3" t="s">
        <v>54</v>
      </c>
      <c r="AC7" s="3" t="s">
        <v>105</v>
      </c>
      <c r="AD7" s="3"/>
      <c r="AE7" s="3"/>
      <c r="AF7" s="3"/>
      <c r="AG7" s="3"/>
      <c r="AH7" s="3"/>
      <c r="AI7" s="3"/>
      <c r="AJ7" s="3"/>
      <c r="AK7" s="3"/>
      <c r="AL7" s="1" t="str">
        <f>LEFT(U7,7)</f>
        <v>TQGP013</v>
      </c>
      <c r="AN7" t="e">
        <f>VLOOKUP(S7,Sheet1!$C:$D,2,0)</f>
        <v>#N/A</v>
      </c>
    </row>
    <row r="8" spans="1:40" x14ac:dyDescent="0.25">
      <c r="A8" s="3">
        <v>7</v>
      </c>
      <c r="B8" s="3" t="s">
        <v>37</v>
      </c>
      <c r="C8" s="3" t="s">
        <v>38</v>
      </c>
      <c r="D8" s="3" t="s">
        <v>39</v>
      </c>
      <c r="E8" s="3" t="s">
        <v>106</v>
      </c>
      <c r="F8" s="3" t="s">
        <v>107</v>
      </c>
      <c r="G8" s="3" t="s">
        <v>108</v>
      </c>
      <c r="H8" s="3" t="s">
        <v>109</v>
      </c>
      <c r="I8" s="3">
        <v>25</v>
      </c>
      <c r="J8" s="3">
        <v>-25.367000000000001</v>
      </c>
      <c r="K8" s="3" t="s">
        <v>95</v>
      </c>
      <c r="L8" s="3"/>
      <c r="M8" s="3" t="s">
        <v>74</v>
      </c>
      <c r="N8" s="3"/>
      <c r="O8" s="3">
        <v>2</v>
      </c>
      <c r="P8" s="3">
        <v>0</v>
      </c>
      <c r="Q8" s="3" t="s">
        <v>46</v>
      </c>
      <c r="R8" s="3" t="s">
        <v>47</v>
      </c>
      <c r="S8" s="3" t="s">
        <v>110</v>
      </c>
      <c r="T8" s="3" t="s">
        <v>111</v>
      </c>
      <c r="U8" s="3" t="s">
        <v>112</v>
      </c>
      <c r="V8" s="3"/>
      <c r="W8" s="3" t="s">
        <v>113</v>
      </c>
      <c r="X8" s="3"/>
      <c r="Y8" s="3" t="s">
        <v>66</v>
      </c>
      <c r="Z8" s="3" t="s">
        <v>54</v>
      </c>
      <c r="AA8" s="3" t="s">
        <v>55</v>
      </c>
      <c r="AB8" s="3" t="s">
        <v>54</v>
      </c>
      <c r="AC8" s="3" t="s">
        <v>114</v>
      </c>
      <c r="AD8" s="3"/>
      <c r="AE8" s="3"/>
      <c r="AF8" s="3"/>
      <c r="AG8" s="3"/>
      <c r="AH8" s="3"/>
      <c r="AI8" s="3"/>
      <c r="AJ8" s="3"/>
      <c r="AK8" s="3"/>
      <c r="AL8" s="1" t="str">
        <f>LEFT(U8,7)</f>
        <v>TQGP024</v>
      </c>
      <c r="AN8" t="str">
        <f>VLOOKUP(S8,Sheet1!$C:$D,2,0)</f>
        <v>TRANGHT28</v>
      </c>
    </row>
    <row r="9" spans="1:40" x14ac:dyDescent="0.25">
      <c r="A9" s="3">
        <v>8</v>
      </c>
      <c r="B9" s="3" t="s">
        <v>37</v>
      </c>
      <c r="C9" s="3" t="s">
        <v>38</v>
      </c>
      <c r="D9" s="3" t="s">
        <v>39</v>
      </c>
      <c r="E9" s="3" t="s">
        <v>69</v>
      </c>
      <c r="F9" s="3" t="s">
        <v>115</v>
      </c>
      <c r="G9" s="3" t="s">
        <v>116</v>
      </c>
      <c r="H9" s="3" t="s">
        <v>117</v>
      </c>
      <c r="I9" s="3">
        <v>26</v>
      </c>
      <c r="J9" s="3">
        <v>-22.2</v>
      </c>
      <c r="K9" s="3"/>
      <c r="L9" s="3" t="s">
        <v>73</v>
      </c>
      <c r="M9" s="3"/>
      <c r="N9" s="3" t="s">
        <v>45</v>
      </c>
      <c r="O9" s="3">
        <v>2</v>
      </c>
      <c r="P9" s="3">
        <v>0</v>
      </c>
      <c r="Q9" s="3" t="s">
        <v>46</v>
      </c>
      <c r="R9" s="3" t="s">
        <v>47</v>
      </c>
      <c r="S9" s="3" t="s">
        <v>102</v>
      </c>
      <c r="T9" s="3" t="s">
        <v>76</v>
      </c>
      <c r="U9" s="3" t="s">
        <v>118</v>
      </c>
      <c r="V9" s="3"/>
      <c r="W9" s="3" t="s">
        <v>119</v>
      </c>
      <c r="X9" s="3" t="s">
        <v>120</v>
      </c>
      <c r="Y9" s="3" t="s">
        <v>53</v>
      </c>
      <c r="Z9" s="3" t="s">
        <v>54</v>
      </c>
      <c r="AA9" s="3" t="s">
        <v>79</v>
      </c>
      <c r="AB9" s="3" t="s">
        <v>54</v>
      </c>
      <c r="AC9" s="3" t="s">
        <v>80</v>
      </c>
      <c r="AD9" s="3"/>
      <c r="AE9" s="3"/>
      <c r="AF9" s="3"/>
      <c r="AG9" s="3"/>
      <c r="AH9" s="3"/>
      <c r="AI9" s="3"/>
      <c r="AJ9" s="3"/>
      <c r="AK9" s="3"/>
      <c r="AL9" s="1" t="str">
        <f>LEFT(U9,7)</f>
        <v>TQGP013</v>
      </c>
      <c r="AN9" t="str">
        <f>VLOOKUP(S9,Sheet1!$C:$D,2,0)</f>
        <v>HUONGTT33</v>
      </c>
    </row>
    <row r="10" spans="1:40" x14ac:dyDescent="0.25">
      <c r="A10" s="3">
        <v>9</v>
      </c>
      <c r="B10" s="3" t="s">
        <v>37</v>
      </c>
      <c r="C10" s="3" t="s">
        <v>38</v>
      </c>
      <c r="D10" s="3" t="s">
        <v>39</v>
      </c>
      <c r="E10" s="3" t="s">
        <v>121</v>
      </c>
      <c r="F10" s="3" t="s">
        <v>122</v>
      </c>
      <c r="G10" s="3" t="s">
        <v>123</v>
      </c>
      <c r="H10" s="3" t="s">
        <v>124</v>
      </c>
      <c r="I10" s="3">
        <v>24</v>
      </c>
      <c r="J10" s="3">
        <v>-19.533000000000001</v>
      </c>
      <c r="K10" s="3"/>
      <c r="L10" s="3" t="s">
        <v>125</v>
      </c>
      <c r="M10" s="3"/>
      <c r="N10" s="3" t="s">
        <v>96</v>
      </c>
      <c r="O10" s="3">
        <v>3</v>
      </c>
      <c r="P10" s="3">
        <v>0</v>
      </c>
      <c r="Q10" s="3" t="s">
        <v>46</v>
      </c>
      <c r="R10" s="3" t="s">
        <v>47</v>
      </c>
      <c r="S10" s="3" t="s">
        <v>126</v>
      </c>
      <c r="T10" s="3" t="s">
        <v>76</v>
      </c>
      <c r="U10" s="3" t="s">
        <v>127</v>
      </c>
      <c r="V10" s="3"/>
      <c r="W10" s="3" t="s">
        <v>128</v>
      </c>
      <c r="X10" s="3"/>
      <c r="Y10" s="3" t="s">
        <v>66</v>
      </c>
      <c r="Z10" s="3" t="s">
        <v>54</v>
      </c>
      <c r="AA10" s="3" t="s">
        <v>79</v>
      </c>
      <c r="AB10" s="3" t="s">
        <v>54</v>
      </c>
      <c r="AC10" s="3" t="s">
        <v>80</v>
      </c>
      <c r="AD10" s="3"/>
      <c r="AE10" s="3"/>
      <c r="AF10" s="3"/>
      <c r="AG10" s="3"/>
      <c r="AH10" s="3"/>
      <c r="AI10" s="3"/>
      <c r="AJ10" s="3"/>
      <c r="AK10" s="3"/>
      <c r="AL10" s="1" t="str">
        <f>LEFT(U10,7)</f>
        <v>TQGP033</v>
      </c>
      <c r="AN10" t="str">
        <f>VLOOKUP(S10,Sheet1!$C:$D,2,0)</f>
        <v>UYENHT15</v>
      </c>
    </row>
    <row r="11" spans="1:40" x14ac:dyDescent="0.25">
      <c r="A11" s="3">
        <v>10</v>
      </c>
      <c r="B11" s="3" t="s">
        <v>37</v>
      </c>
      <c r="C11" s="3" t="s">
        <v>38</v>
      </c>
      <c r="D11" s="3" t="s">
        <v>39</v>
      </c>
      <c r="E11" s="3" t="s">
        <v>57</v>
      </c>
      <c r="F11" s="3" t="s">
        <v>129</v>
      </c>
      <c r="G11" s="3" t="s">
        <v>130</v>
      </c>
      <c r="H11" s="3" t="s">
        <v>131</v>
      </c>
      <c r="I11" s="3">
        <v>17</v>
      </c>
      <c r="J11" s="3">
        <v>-13.282999999999999</v>
      </c>
      <c r="K11" s="3"/>
      <c r="L11" s="3" t="s">
        <v>73</v>
      </c>
      <c r="M11" s="3"/>
      <c r="N11" s="3" t="s">
        <v>132</v>
      </c>
      <c r="O11" s="3">
        <v>2</v>
      </c>
      <c r="P11" s="3">
        <v>0</v>
      </c>
      <c r="Q11" s="3" t="s">
        <v>46</v>
      </c>
      <c r="R11" s="3" t="s">
        <v>47</v>
      </c>
      <c r="S11" s="3" t="s">
        <v>133</v>
      </c>
      <c r="T11" s="3" t="s">
        <v>76</v>
      </c>
      <c r="U11" s="3" t="s">
        <v>134</v>
      </c>
      <c r="V11" s="3"/>
      <c r="W11" s="3" t="s">
        <v>135</v>
      </c>
      <c r="X11" s="3"/>
      <c r="Y11" s="3" t="s">
        <v>66</v>
      </c>
      <c r="Z11" s="3" t="s">
        <v>54</v>
      </c>
      <c r="AA11" s="3" t="s">
        <v>79</v>
      </c>
      <c r="AB11" s="3" t="s">
        <v>54</v>
      </c>
      <c r="AC11" s="3" t="s">
        <v>80</v>
      </c>
      <c r="AD11" s="3"/>
      <c r="AE11" s="3"/>
      <c r="AF11" s="3"/>
      <c r="AG11" s="3"/>
      <c r="AH11" s="3"/>
      <c r="AI11" s="3"/>
      <c r="AJ11" s="3"/>
      <c r="AK11" s="3"/>
      <c r="AL11" s="1" t="str">
        <f>LEFT(U11,7)</f>
        <v>TQGP032</v>
      </c>
      <c r="AN11" t="str">
        <f>VLOOKUP(S11,Sheet1!$C:$D,2,0)</f>
        <v>LYHK7</v>
      </c>
    </row>
    <row r="12" spans="1:40" x14ac:dyDescent="0.25">
      <c r="A12" s="3">
        <v>11</v>
      </c>
      <c r="B12" s="3" t="s">
        <v>37</v>
      </c>
      <c r="C12" s="3" t="s">
        <v>38</v>
      </c>
      <c r="D12" s="3" t="s">
        <v>39</v>
      </c>
      <c r="E12" s="3" t="s">
        <v>136</v>
      </c>
      <c r="F12" s="3" t="s">
        <v>137</v>
      </c>
      <c r="G12" s="3" t="s">
        <v>138</v>
      </c>
      <c r="H12" s="3" t="s">
        <v>139</v>
      </c>
      <c r="I12" s="3">
        <v>28</v>
      </c>
      <c r="J12" s="3">
        <v>-4.1829999999999998</v>
      </c>
      <c r="K12" s="3"/>
      <c r="L12" s="3" t="s">
        <v>73</v>
      </c>
      <c r="M12" s="3"/>
      <c r="N12" s="3" t="s">
        <v>132</v>
      </c>
      <c r="O12" s="3">
        <v>4</v>
      </c>
      <c r="P12" s="3">
        <v>0</v>
      </c>
      <c r="Q12" s="3" t="s">
        <v>46</v>
      </c>
      <c r="R12" s="3" t="s">
        <v>47</v>
      </c>
      <c r="S12" s="3" t="s">
        <v>140</v>
      </c>
      <c r="T12" s="3" t="s">
        <v>76</v>
      </c>
      <c r="U12" s="3" t="s">
        <v>141</v>
      </c>
      <c r="V12" s="3"/>
      <c r="W12" s="3" t="s">
        <v>142</v>
      </c>
      <c r="X12" s="3"/>
      <c r="Y12" s="3" t="s">
        <v>66</v>
      </c>
      <c r="Z12" s="3" t="s">
        <v>54</v>
      </c>
      <c r="AA12" s="3" t="s">
        <v>55</v>
      </c>
      <c r="AB12" s="3" t="s">
        <v>54</v>
      </c>
      <c r="AC12" s="3" t="s">
        <v>143</v>
      </c>
      <c r="AD12" s="3"/>
      <c r="AE12" s="3"/>
      <c r="AF12" s="3"/>
      <c r="AG12" s="3"/>
      <c r="AH12" s="3"/>
      <c r="AI12" s="3"/>
      <c r="AJ12" s="3"/>
      <c r="AK12" s="3"/>
      <c r="AL12" s="1" t="str">
        <f>LEFT(U12,7)</f>
        <v>TQGP032</v>
      </c>
      <c r="AN12" t="str">
        <f>VLOOKUP(S12,Sheet1!$C:$D,2,0)</f>
        <v>TAMVTT5</v>
      </c>
    </row>
    <row r="13" spans="1:40" x14ac:dyDescent="0.25">
      <c r="A13" s="3">
        <v>12</v>
      </c>
      <c r="B13" s="3" t="s">
        <v>37</v>
      </c>
      <c r="C13" s="3" t="s">
        <v>38</v>
      </c>
      <c r="D13" s="3" t="s">
        <v>39</v>
      </c>
      <c r="E13" s="3" t="s">
        <v>190</v>
      </c>
      <c r="F13" s="3" t="s">
        <v>191</v>
      </c>
      <c r="G13" s="3" t="s">
        <v>192</v>
      </c>
      <c r="H13" s="3" t="s">
        <v>193</v>
      </c>
      <c r="I13" s="3">
        <v>1</v>
      </c>
      <c r="J13" s="3">
        <v>-1.367</v>
      </c>
      <c r="K13" s="3" t="s">
        <v>73</v>
      </c>
      <c r="L13" s="3"/>
      <c r="M13" s="3" t="s">
        <v>74</v>
      </c>
      <c r="N13" s="3"/>
      <c r="O13" s="3">
        <v>1</v>
      </c>
      <c r="P13" s="3">
        <v>0</v>
      </c>
      <c r="Q13" s="3" t="s">
        <v>46</v>
      </c>
      <c r="R13" s="3" t="s">
        <v>47</v>
      </c>
      <c r="S13" s="3" t="s">
        <v>194</v>
      </c>
      <c r="T13" s="3" t="s">
        <v>49</v>
      </c>
      <c r="U13" s="3" t="s">
        <v>195</v>
      </c>
      <c r="V13" s="3"/>
      <c r="W13" s="3" t="s">
        <v>196</v>
      </c>
      <c r="X13" s="3" t="s">
        <v>197</v>
      </c>
      <c r="Y13" s="3" t="s">
        <v>53</v>
      </c>
      <c r="Z13" s="3" t="s">
        <v>54</v>
      </c>
      <c r="AA13" s="3" t="s">
        <v>55</v>
      </c>
      <c r="AB13" s="3" t="s">
        <v>54</v>
      </c>
      <c r="AC13" s="3" t="s">
        <v>198</v>
      </c>
      <c r="AD13" s="3"/>
      <c r="AE13" s="3"/>
      <c r="AF13" s="3"/>
      <c r="AG13" s="3"/>
      <c r="AH13" s="3"/>
      <c r="AI13" s="3"/>
      <c r="AJ13" s="3"/>
      <c r="AK13" s="3"/>
      <c r="AL13" s="1" t="str">
        <f>LEFT(U13,7)</f>
        <v>TQGP021</v>
      </c>
      <c r="AN13" t="str">
        <f>VLOOKUP(S13,Sheet1!$C:$D,2,0)</f>
        <v>TQG.HANGVTT12</v>
      </c>
    </row>
    <row r="14" spans="1:40" x14ac:dyDescent="0.25">
      <c r="A14" s="3">
        <v>13</v>
      </c>
      <c r="B14" s="3" t="s">
        <v>37</v>
      </c>
      <c r="C14" s="3" t="s">
        <v>38</v>
      </c>
      <c r="D14" s="3" t="s">
        <v>39</v>
      </c>
      <c r="E14" s="3" t="s">
        <v>150</v>
      </c>
      <c r="F14" s="3" t="s">
        <v>151</v>
      </c>
      <c r="G14" s="3" t="s">
        <v>152</v>
      </c>
      <c r="H14" s="3" t="s">
        <v>153</v>
      </c>
      <c r="I14" s="3">
        <v>1</v>
      </c>
      <c r="J14" s="3">
        <v>-1.367</v>
      </c>
      <c r="K14" s="3" t="s">
        <v>73</v>
      </c>
      <c r="L14" s="3"/>
      <c r="M14" s="3" t="s">
        <v>74</v>
      </c>
      <c r="N14" s="3"/>
      <c r="O14" s="3">
        <v>1</v>
      </c>
      <c r="P14" s="3">
        <v>0</v>
      </c>
      <c r="Q14" s="3" t="s">
        <v>46</v>
      </c>
      <c r="R14" s="3" t="s">
        <v>147</v>
      </c>
      <c r="S14" s="3" t="s">
        <v>154</v>
      </c>
      <c r="T14" s="3" t="s">
        <v>49</v>
      </c>
      <c r="U14" s="3" t="s">
        <v>155</v>
      </c>
      <c r="V14" s="3"/>
      <c r="W14" s="3" t="s">
        <v>156</v>
      </c>
      <c r="X14" s="3"/>
      <c r="Y14" s="3" t="s">
        <v>66</v>
      </c>
      <c r="Z14" s="3" t="s">
        <v>54</v>
      </c>
      <c r="AA14" s="3" t="s">
        <v>55</v>
      </c>
      <c r="AB14" s="3" t="s">
        <v>54</v>
      </c>
      <c r="AC14" s="3" t="s">
        <v>114</v>
      </c>
      <c r="AD14" s="3"/>
      <c r="AE14" s="3"/>
      <c r="AF14" s="3"/>
      <c r="AG14" s="3"/>
      <c r="AH14" s="3"/>
      <c r="AI14" s="3"/>
      <c r="AJ14" s="3"/>
      <c r="AK14" s="3"/>
      <c r="AL14" s="1" t="str">
        <f>LEFT(U14,7)</f>
        <v>TQGP029</v>
      </c>
      <c r="AN14" t="str">
        <f>VLOOKUP(S14,Sheet1!$C:$D,2,0)</f>
        <v>UYENHT15</v>
      </c>
    </row>
    <row r="15" spans="1:40" x14ac:dyDescent="0.25">
      <c r="A15" s="3">
        <v>14</v>
      </c>
      <c r="B15" s="3" t="s">
        <v>37</v>
      </c>
      <c r="C15" s="3" t="s">
        <v>38</v>
      </c>
      <c r="D15" s="3" t="s">
        <v>39</v>
      </c>
      <c r="E15" s="3" t="s">
        <v>57</v>
      </c>
      <c r="F15" s="3" t="s">
        <v>170</v>
      </c>
      <c r="G15" s="3" t="s">
        <v>171</v>
      </c>
      <c r="H15" s="3" t="s">
        <v>172</v>
      </c>
      <c r="I15" s="3">
        <v>1</v>
      </c>
      <c r="J15" s="3">
        <v>-1.367</v>
      </c>
      <c r="K15" s="3" t="s">
        <v>73</v>
      </c>
      <c r="L15" s="3"/>
      <c r="M15" s="3" t="s">
        <v>74</v>
      </c>
      <c r="N15" s="3"/>
      <c r="O15" s="3">
        <v>2</v>
      </c>
      <c r="P15" s="3">
        <v>0</v>
      </c>
      <c r="Q15" s="3" t="s">
        <v>46</v>
      </c>
      <c r="R15" s="3" t="s">
        <v>173</v>
      </c>
      <c r="S15" s="3" t="s">
        <v>62</v>
      </c>
      <c r="T15" s="3" t="s">
        <v>49</v>
      </c>
      <c r="U15" s="3" t="s">
        <v>174</v>
      </c>
      <c r="V15" s="3"/>
      <c r="W15" s="3" t="s">
        <v>175</v>
      </c>
      <c r="X15" s="3"/>
      <c r="Y15" s="3" t="s">
        <v>53</v>
      </c>
      <c r="Z15" s="3" t="s">
        <v>54</v>
      </c>
      <c r="AA15" s="3" t="s">
        <v>55</v>
      </c>
      <c r="AB15" s="3" t="s">
        <v>54</v>
      </c>
      <c r="AC15" s="3" t="s">
        <v>114</v>
      </c>
      <c r="AD15" s="3"/>
      <c r="AE15" s="3"/>
      <c r="AF15" s="3"/>
      <c r="AG15" s="3"/>
      <c r="AH15" s="3"/>
      <c r="AI15" s="3"/>
      <c r="AJ15" s="3"/>
      <c r="AK15" s="3"/>
      <c r="AL15" s="1" t="str">
        <f>LEFT(U15,7)</f>
        <v>TQGP017</v>
      </c>
      <c r="AN15" t="str">
        <f>VLOOKUP(S15,Sheet1!$C:$D,2,0)</f>
        <v>TQG.HANGVTT12</v>
      </c>
    </row>
    <row r="16" spans="1:40" x14ac:dyDescent="0.25">
      <c r="A16" s="3">
        <v>15</v>
      </c>
      <c r="B16" s="3" t="s">
        <v>37</v>
      </c>
      <c r="C16" s="3" t="s">
        <v>38</v>
      </c>
      <c r="D16" s="3" t="s">
        <v>39</v>
      </c>
      <c r="E16" s="3" t="s">
        <v>69</v>
      </c>
      <c r="F16" s="3" t="s">
        <v>157</v>
      </c>
      <c r="G16" s="3" t="s">
        <v>158</v>
      </c>
      <c r="H16" s="3" t="s">
        <v>159</v>
      </c>
      <c r="I16" s="3">
        <v>22</v>
      </c>
      <c r="J16" s="3">
        <v>2.1</v>
      </c>
      <c r="K16" s="3"/>
      <c r="L16" s="3" t="s">
        <v>73</v>
      </c>
      <c r="M16" s="3"/>
      <c r="N16" s="3" t="s">
        <v>45</v>
      </c>
      <c r="O16" s="3">
        <v>2</v>
      </c>
      <c r="P16" s="3">
        <v>0</v>
      </c>
      <c r="Q16" s="3" t="s">
        <v>46</v>
      </c>
      <c r="R16" s="3" t="s">
        <v>47</v>
      </c>
      <c r="S16" s="3" t="s">
        <v>75</v>
      </c>
      <c r="T16" s="3" t="s">
        <v>76</v>
      </c>
      <c r="U16" s="3" t="s">
        <v>161</v>
      </c>
      <c r="V16" s="3"/>
      <c r="W16" s="3" t="s">
        <v>162</v>
      </c>
      <c r="X16" s="3"/>
      <c r="Y16" s="3" t="s">
        <v>53</v>
      </c>
      <c r="Z16" s="3" t="s">
        <v>54</v>
      </c>
      <c r="AA16" s="3" t="s">
        <v>55</v>
      </c>
      <c r="AB16" s="3" t="s">
        <v>54</v>
      </c>
      <c r="AC16" s="3" t="s">
        <v>163</v>
      </c>
      <c r="AD16" s="3"/>
      <c r="AE16" s="3"/>
      <c r="AF16" s="3"/>
      <c r="AG16" s="3"/>
      <c r="AH16" s="3"/>
      <c r="AI16" s="3"/>
      <c r="AJ16" s="3"/>
      <c r="AK16" s="3"/>
      <c r="AL16" s="1" t="str">
        <f>LEFT(U16,7)</f>
        <v>TQGP013</v>
      </c>
      <c r="AN16" t="str">
        <f>VLOOKUP(S16,Sheet1!$C:$D,2,0)</f>
        <v>ANHHV15</v>
      </c>
    </row>
    <row r="17" spans="1:40" x14ac:dyDescent="0.25">
      <c r="A17" s="3">
        <v>16</v>
      </c>
      <c r="B17" s="3" t="s">
        <v>37</v>
      </c>
      <c r="C17" s="3" t="s">
        <v>38</v>
      </c>
      <c r="D17" s="3" t="s">
        <v>39</v>
      </c>
      <c r="E17" s="3" t="s">
        <v>259</v>
      </c>
      <c r="F17" s="3" t="s">
        <v>260</v>
      </c>
      <c r="G17" s="3" t="s">
        <v>261</v>
      </c>
      <c r="H17" s="3" t="s">
        <v>262</v>
      </c>
      <c r="I17" s="3">
        <v>-2</v>
      </c>
      <c r="J17" s="3">
        <v>2.133</v>
      </c>
      <c r="K17" s="3" t="s">
        <v>73</v>
      </c>
      <c r="L17" s="3"/>
      <c r="M17" s="3" t="s">
        <v>132</v>
      </c>
      <c r="N17" s="3"/>
      <c r="O17" s="3">
        <v>2</v>
      </c>
      <c r="P17" s="3">
        <v>0</v>
      </c>
      <c r="Q17" s="3" t="s">
        <v>46</v>
      </c>
      <c r="R17" s="3" t="s">
        <v>86</v>
      </c>
      <c r="S17" s="3" t="s">
        <v>263</v>
      </c>
      <c r="T17" s="3" t="s">
        <v>76</v>
      </c>
      <c r="U17" s="3" t="s">
        <v>264</v>
      </c>
      <c r="V17" s="3"/>
      <c r="W17" s="3" t="s">
        <v>265</v>
      </c>
      <c r="X17" s="3" t="s">
        <v>266</v>
      </c>
      <c r="Y17" s="3" t="s">
        <v>66</v>
      </c>
      <c r="Z17" s="3" t="s">
        <v>54</v>
      </c>
      <c r="AA17" s="3" t="s">
        <v>55</v>
      </c>
      <c r="AB17" s="3" t="s">
        <v>67</v>
      </c>
      <c r="AC17" s="3" t="s">
        <v>231</v>
      </c>
      <c r="AD17" s="3"/>
      <c r="AE17" s="3"/>
      <c r="AF17" s="3"/>
      <c r="AG17" s="3"/>
      <c r="AH17" s="3"/>
      <c r="AI17" s="3"/>
      <c r="AJ17" s="3"/>
      <c r="AK17" s="3"/>
      <c r="AL17" s="1" t="str">
        <f>LEFT(U17,7)</f>
        <v>TQGP005</v>
      </c>
      <c r="AN17" t="str">
        <f>VLOOKUP(S17,Sheet1!$C:$D,2,0)</f>
        <v>ANHHV15</v>
      </c>
    </row>
    <row r="18" spans="1:40" x14ac:dyDescent="0.25">
      <c r="A18" s="3">
        <v>17</v>
      </c>
      <c r="B18" s="3" t="s">
        <v>37</v>
      </c>
      <c r="C18" s="3" t="s">
        <v>38</v>
      </c>
      <c r="D18" s="3" t="s">
        <v>39</v>
      </c>
      <c r="E18" s="3" t="s">
        <v>246</v>
      </c>
      <c r="F18" s="3" t="s">
        <v>312</v>
      </c>
      <c r="G18" s="3" t="s">
        <v>313</v>
      </c>
      <c r="H18" s="3" t="s">
        <v>314</v>
      </c>
      <c r="I18" s="3">
        <v>-2</v>
      </c>
      <c r="J18" s="3">
        <v>2.133</v>
      </c>
      <c r="K18" s="3" t="s">
        <v>73</v>
      </c>
      <c r="L18" s="3"/>
      <c r="M18" s="3" t="s">
        <v>132</v>
      </c>
      <c r="N18" s="3"/>
      <c r="O18" s="3">
        <v>2</v>
      </c>
      <c r="P18" s="3">
        <v>0</v>
      </c>
      <c r="Q18" s="3" t="s">
        <v>46</v>
      </c>
      <c r="R18" s="3" t="s">
        <v>47</v>
      </c>
      <c r="S18" s="3" t="s">
        <v>250</v>
      </c>
      <c r="T18" s="3" t="s">
        <v>76</v>
      </c>
      <c r="U18" s="3" t="s">
        <v>315</v>
      </c>
      <c r="V18" s="3"/>
      <c r="W18" s="3" t="s">
        <v>316</v>
      </c>
      <c r="X18" s="3"/>
      <c r="Y18" s="3" t="s">
        <v>53</v>
      </c>
      <c r="Z18" s="3" t="s">
        <v>54</v>
      </c>
      <c r="AA18" s="3" t="s">
        <v>55</v>
      </c>
      <c r="AB18" s="3" t="s">
        <v>54</v>
      </c>
      <c r="AC18" s="3" t="s">
        <v>114</v>
      </c>
      <c r="AD18" s="3"/>
      <c r="AE18" s="3"/>
      <c r="AF18" s="3"/>
      <c r="AG18" s="3"/>
      <c r="AH18" s="3"/>
      <c r="AI18" s="3"/>
      <c r="AJ18" s="3"/>
      <c r="AK18" s="3"/>
      <c r="AL18" s="1" t="str">
        <f>LEFT(U18,7)</f>
        <v>TQGP011</v>
      </c>
      <c r="AN18" t="str">
        <f>VLOOKUP(S18,Sheet1!$C:$D,2,0)</f>
        <v>TQG.HANGVTT12</v>
      </c>
    </row>
    <row r="19" spans="1:40" x14ac:dyDescent="0.25">
      <c r="A19" s="3">
        <v>18</v>
      </c>
      <c r="B19" s="3" t="s">
        <v>37</v>
      </c>
      <c r="C19" s="3" t="s">
        <v>38</v>
      </c>
      <c r="D19" s="3" t="s">
        <v>39</v>
      </c>
      <c r="E19" s="3" t="s">
        <v>136</v>
      </c>
      <c r="F19" s="3" t="s">
        <v>318</v>
      </c>
      <c r="G19" s="3" t="s">
        <v>319</v>
      </c>
      <c r="H19" s="3" t="s">
        <v>320</v>
      </c>
      <c r="I19" s="3">
        <v>-2</v>
      </c>
      <c r="J19" s="3">
        <v>2.133</v>
      </c>
      <c r="K19" s="3" t="s">
        <v>73</v>
      </c>
      <c r="L19" s="3"/>
      <c r="M19" s="3" t="s">
        <v>132</v>
      </c>
      <c r="N19" s="3"/>
      <c r="O19" s="3">
        <v>1</v>
      </c>
      <c r="P19" s="3">
        <v>0</v>
      </c>
      <c r="Q19" s="3" t="s">
        <v>46</v>
      </c>
      <c r="R19" s="3" t="s">
        <v>47</v>
      </c>
      <c r="S19" s="3" t="s">
        <v>239</v>
      </c>
      <c r="T19" s="3" t="s">
        <v>76</v>
      </c>
      <c r="U19" s="3" t="s">
        <v>321</v>
      </c>
      <c r="V19" s="3"/>
      <c r="W19" s="3" t="s">
        <v>322</v>
      </c>
      <c r="X19" s="3"/>
      <c r="Y19" s="3" t="s">
        <v>53</v>
      </c>
      <c r="Z19" s="3" t="s">
        <v>54</v>
      </c>
      <c r="AA19" s="3" t="s">
        <v>79</v>
      </c>
      <c r="AB19" s="3" t="s">
        <v>54</v>
      </c>
      <c r="AC19" s="3" t="s">
        <v>80</v>
      </c>
      <c r="AD19" s="3"/>
      <c r="AE19" s="3"/>
      <c r="AF19" s="3"/>
      <c r="AG19" s="3"/>
      <c r="AH19" s="3"/>
      <c r="AI19" s="3"/>
      <c r="AJ19" s="3"/>
      <c r="AK19" s="3"/>
      <c r="AL19" s="1" t="str">
        <f>LEFT(U19,7)</f>
        <v>TQGP027</v>
      </c>
      <c r="AN19" t="str">
        <f>VLOOKUP(S19,Sheet1!$C:$D,2,0)</f>
        <v>TAMVTT5</v>
      </c>
    </row>
    <row r="20" spans="1:40" x14ac:dyDescent="0.25">
      <c r="A20" s="3">
        <v>19</v>
      </c>
      <c r="B20" s="3" t="s">
        <v>37</v>
      </c>
      <c r="C20" s="3" t="s">
        <v>38</v>
      </c>
      <c r="D20" s="3" t="s">
        <v>39</v>
      </c>
      <c r="E20" s="3" t="s">
        <v>136</v>
      </c>
      <c r="F20" s="3" t="s">
        <v>272</v>
      </c>
      <c r="G20" s="3" t="s">
        <v>273</v>
      </c>
      <c r="H20" s="3" t="s">
        <v>274</v>
      </c>
      <c r="I20" s="3">
        <v>-2</v>
      </c>
      <c r="J20" s="3">
        <v>2.133</v>
      </c>
      <c r="K20" s="3" t="s">
        <v>73</v>
      </c>
      <c r="L20" s="3"/>
      <c r="M20" s="3" t="s">
        <v>132</v>
      </c>
      <c r="N20" s="3"/>
      <c r="O20" s="3">
        <v>1</v>
      </c>
      <c r="P20" s="3">
        <v>0</v>
      </c>
      <c r="Q20" s="3" t="s">
        <v>46</v>
      </c>
      <c r="R20" s="3" t="s">
        <v>47</v>
      </c>
      <c r="S20" s="3" t="s">
        <v>140</v>
      </c>
      <c r="T20" s="3" t="s">
        <v>76</v>
      </c>
      <c r="U20" s="3" t="s">
        <v>275</v>
      </c>
      <c r="V20" s="3"/>
      <c r="W20" s="3" t="s">
        <v>276</v>
      </c>
      <c r="X20" s="3"/>
      <c r="Y20" s="3" t="s">
        <v>53</v>
      </c>
      <c r="Z20" s="3" t="s">
        <v>54</v>
      </c>
      <c r="AA20" s="3" t="s">
        <v>55</v>
      </c>
      <c r="AB20" s="3" t="s">
        <v>54</v>
      </c>
      <c r="AC20" s="3" t="s">
        <v>114</v>
      </c>
      <c r="AD20" s="3"/>
      <c r="AE20" s="3"/>
      <c r="AF20" s="3"/>
      <c r="AG20" s="3"/>
      <c r="AH20" s="3"/>
      <c r="AI20" s="3"/>
      <c r="AJ20" s="3"/>
      <c r="AK20" s="3"/>
      <c r="AL20" s="1" t="str">
        <f>LEFT(U20,7)</f>
        <v>TQGP031</v>
      </c>
      <c r="AN20" t="str">
        <f>VLOOKUP(S20,Sheet1!$C:$D,2,0)</f>
        <v>TAMVTT5</v>
      </c>
    </row>
    <row r="21" spans="1:40" x14ac:dyDescent="0.25">
      <c r="A21" s="3">
        <v>20</v>
      </c>
      <c r="B21" s="3" t="s">
        <v>37</v>
      </c>
      <c r="C21" s="3" t="s">
        <v>38</v>
      </c>
      <c r="D21" s="3" t="s">
        <v>39</v>
      </c>
      <c r="E21" s="3" t="s">
        <v>190</v>
      </c>
      <c r="F21" s="3" t="s">
        <v>537</v>
      </c>
      <c r="G21" s="3" t="s">
        <v>538</v>
      </c>
      <c r="H21" s="3" t="s">
        <v>539</v>
      </c>
      <c r="I21" s="3">
        <v>-2</v>
      </c>
      <c r="J21" s="3">
        <v>2.133</v>
      </c>
      <c r="K21" s="3" t="s">
        <v>73</v>
      </c>
      <c r="L21" s="3"/>
      <c r="M21" s="3" t="s">
        <v>132</v>
      </c>
      <c r="N21" s="3"/>
      <c r="O21" s="3">
        <v>1</v>
      </c>
      <c r="P21" s="3">
        <v>0</v>
      </c>
      <c r="Q21" s="3" t="s">
        <v>46</v>
      </c>
      <c r="R21" s="3" t="s">
        <v>47</v>
      </c>
      <c r="S21" s="3" t="s">
        <v>194</v>
      </c>
      <c r="T21" s="3" t="s">
        <v>76</v>
      </c>
      <c r="U21" s="3" t="s">
        <v>540</v>
      </c>
      <c r="V21" s="3"/>
      <c r="W21" s="3" t="s">
        <v>541</v>
      </c>
      <c r="X21" s="3"/>
      <c r="Y21" s="3" t="s">
        <v>53</v>
      </c>
      <c r="Z21" s="3" t="s">
        <v>54</v>
      </c>
      <c r="AA21" s="3" t="s">
        <v>55</v>
      </c>
      <c r="AB21" s="3" t="s">
        <v>67</v>
      </c>
      <c r="AC21" s="3" t="s">
        <v>542</v>
      </c>
      <c r="AD21" s="3"/>
      <c r="AE21" s="3"/>
      <c r="AF21" s="3"/>
      <c r="AG21" s="3"/>
      <c r="AH21" s="3"/>
      <c r="AI21" s="3"/>
      <c r="AJ21" s="3"/>
      <c r="AK21" s="3"/>
      <c r="AL21" s="1" t="str">
        <f>LEFT(U21,7)</f>
        <v>TQGP023</v>
      </c>
      <c r="AN21" t="str">
        <f>VLOOKUP(S21,Sheet1!$C:$D,2,0)</f>
        <v>TQG.HANGVTT12</v>
      </c>
    </row>
    <row r="22" spans="1:40" x14ac:dyDescent="0.25">
      <c r="A22" s="3">
        <v>21</v>
      </c>
      <c r="B22" s="3" t="s">
        <v>37</v>
      </c>
      <c r="C22" s="3" t="s">
        <v>38</v>
      </c>
      <c r="D22" s="3" t="s">
        <v>39</v>
      </c>
      <c r="E22" s="3" t="s">
        <v>40</v>
      </c>
      <c r="F22" s="3" t="s">
        <v>294</v>
      </c>
      <c r="G22" s="3" t="s">
        <v>295</v>
      </c>
      <c r="H22" s="3" t="s">
        <v>296</v>
      </c>
      <c r="I22" s="3">
        <v>-2</v>
      </c>
      <c r="J22" s="3">
        <v>2.133</v>
      </c>
      <c r="K22" s="3" t="s">
        <v>73</v>
      </c>
      <c r="L22" s="3" t="s">
        <v>95</v>
      </c>
      <c r="M22" s="3" t="s">
        <v>132</v>
      </c>
      <c r="N22" s="3" t="s">
        <v>45</v>
      </c>
      <c r="O22" s="3">
        <v>4</v>
      </c>
      <c r="P22" s="3">
        <v>0</v>
      </c>
      <c r="Q22" s="3" t="s">
        <v>46</v>
      </c>
      <c r="R22" s="3" t="s">
        <v>47</v>
      </c>
      <c r="S22" s="3" t="s">
        <v>297</v>
      </c>
      <c r="T22" s="3" t="s">
        <v>76</v>
      </c>
      <c r="U22" s="3" t="s">
        <v>298</v>
      </c>
      <c r="V22" s="3"/>
      <c r="W22" s="3" t="s">
        <v>299</v>
      </c>
      <c r="X22" s="3"/>
      <c r="Y22" s="3"/>
      <c r="Z22" s="3" t="s">
        <v>54</v>
      </c>
      <c r="AA22" s="3" t="s">
        <v>55</v>
      </c>
      <c r="AB22" s="3" t="s">
        <v>54</v>
      </c>
      <c r="AC22" s="3" t="s">
        <v>114</v>
      </c>
      <c r="AD22" s="3"/>
      <c r="AE22" s="3"/>
      <c r="AF22" s="3"/>
      <c r="AG22" s="3"/>
      <c r="AH22" s="3"/>
      <c r="AI22" s="3"/>
      <c r="AJ22" s="3"/>
      <c r="AK22" s="3"/>
      <c r="AL22" s="1" t="str">
        <f>LEFT(U22,7)</f>
        <v>TQGP038</v>
      </c>
      <c r="AN22" t="str">
        <f>VLOOKUP(S22,Sheet1!$C:$D,2,0)</f>
        <v>TRANGDTH35</v>
      </c>
    </row>
    <row r="23" spans="1:40" x14ac:dyDescent="0.25">
      <c r="A23" s="3">
        <v>22</v>
      </c>
      <c r="B23" s="3" t="s">
        <v>37</v>
      </c>
      <c r="C23" s="3" t="s">
        <v>38</v>
      </c>
      <c r="D23" s="3" t="s">
        <v>39</v>
      </c>
      <c r="E23" s="3" t="s">
        <v>150</v>
      </c>
      <c r="F23" s="3" t="s">
        <v>287</v>
      </c>
      <c r="G23" s="3" t="s">
        <v>288</v>
      </c>
      <c r="H23" s="3" t="s">
        <v>289</v>
      </c>
      <c r="I23" s="3">
        <v>-2</v>
      </c>
      <c r="J23" s="3">
        <v>2.133</v>
      </c>
      <c r="K23" s="3" t="s">
        <v>73</v>
      </c>
      <c r="L23" s="3"/>
      <c r="M23" s="3" t="s">
        <v>132</v>
      </c>
      <c r="N23" s="3"/>
      <c r="O23" s="3">
        <v>1</v>
      </c>
      <c r="P23" s="3">
        <v>0</v>
      </c>
      <c r="Q23" s="3" t="s">
        <v>46</v>
      </c>
      <c r="R23" s="3" t="s">
        <v>47</v>
      </c>
      <c r="S23" s="3" t="s">
        <v>290</v>
      </c>
      <c r="T23" s="3" t="s">
        <v>160</v>
      </c>
      <c r="U23" s="3" t="s">
        <v>291</v>
      </c>
      <c r="V23" s="3"/>
      <c r="W23" s="3" t="s">
        <v>292</v>
      </c>
      <c r="X23" s="3"/>
      <c r="Y23" s="3" t="s">
        <v>53</v>
      </c>
      <c r="Z23" s="3" t="s">
        <v>54</v>
      </c>
      <c r="AA23" s="3" t="s">
        <v>55</v>
      </c>
      <c r="AB23" s="3" t="s">
        <v>67</v>
      </c>
      <c r="AC23" s="3" t="s">
        <v>293</v>
      </c>
      <c r="AD23" s="3"/>
      <c r="AE23" s="3"/>
      <c r="AF23" s="3"/>
      <c r="AG23" s="3"/>
      <c r="AH23" s="3"/>
      <c r="AI23" s="3"/>
      <c r="AJ23" s="3"/>
      <c r="AK23" s="3"/>
      <c r="AL23" s="1" t="str">
        <f>LEFT(U23,7)</f>
        <v>TQGP028</v>
      </c>
      <c r="AN23" t="str">
        <f>VLOOKUP(S23,Sheet1!$C:$D,2,0)</f>
        <v>UYENHT15</v>
      </c>
    </row>
    <row r="24" spans="1:40" x14ac:dyDescent="0.25">
      <c r="A24" s="3">
        <v>23</v>
      </c>
      <c r="B24" s="3" t="s">
        <v>37</v>
      </c>
      <c r="C24" s="3" t="s">
        <v>38</v>
      </c>
      <c r="D24" s="3" t="s">
        <v>39</v>
      </c>
      <c r="E24" s="3" t="s">
        <v>176</v>
      </c>
      <c r="F24" s="3" t="s">
        <v>267</v>
      </c>
      <c r="G24" s="3" t="s">
        <v>268</v>
      </c>
      <c r="H24" s="3" t="s">
        <v>269</v>
      </c>
      <c r="I24" s="3">
        <v>-2</v>
      </c>
      <c r="J24" s="3">
        <v>2.133</v>
      </c>
      <c r="K24" s="3" t="s">
        <v>73</v>
      </c>
      <c r="L24" s="3"/>
      <c r="M24" s="3" t="s">
        <v>132</v>
      </c>
      <c r="N24" s="3"/>
      <c r="O24" s="3">
        <v>1</v>
      </c>
      <c r="P24" s="3">
        <v>0</v>
      </c>
      <c r="Q24" s="3" t="s">
        <v>46</v>
      </c>
      <c r="R24" s="3" t="s">
        <v>47</v>
      </c>
      <c r="S24" s="3" t="s">
        <v>238</v>
      </c>
      <c r="T24" s="3" t="s">
        <v>76</v>
      </c>
      <c r="U24" s="3" t="s">
        <v>270</v>
      </c>
      <c r="V24" s="3"/>
      <c r="W24" s="3" t="s">
        <v>271</v>
      </c>
      <c r="X24" s="3"/>
      <c r="Y24" s="3" t="s">
        <v>53</v>
      </c>
      <c r="Z24" s="3" t="s">
        <v>54</v>
      </c>
      <c r="AA24" s="3" t="s">
        <v>55</v>
      </c>
      <c r="AB24" s="3" t="s">
        <v>54</v>
      </c>
      <c r="AC24" s="3" t="s">
        <v>114</v>
      </c>
      <c r="AD24" s="3"/>
      <c r="AE24" s="3"/>
      <c r="AF24" s="3"/>
      <c r="AG24" s="3"/>
      <c r="AH24" s="3"/>
      <c r="AI24" s="3"/>
      <c r="AJ24" s="3"/>
      <c r="AK24" s="3"/>
      <c r="AL24" s="1" t="str">
        <f>LEFT(U24,7)</f>
        <v>TQGP006</v>
      </c>
      <c r="AN24" t="str">
        <f>VLOOKUP(S24,Sheet1!$C:$D,2,0)</f>
        <v>TRANGHT28</v>
      </c>
    </row>
    <row r="25" spans="1:40" x14ac:dyDescent="0.25">
      <c r="A25" s="3">
        <v>24</v>
      </c>
      <c r="B25" s="3" t="s">
        <v>37</v>
      </c>
      <c r="C25" s="3" t="s">
        <v>38</v>
      </c>
      <c r="D25" s="3" t="s">
        <v>39</v>
      </c>
      <c r="E25" s="3" t="s">
        <v>57</v>
      </c>
      <c r="F25" s="3" t="s">
        <v>144</v>
      </c>
      <c r="G25" s="3" t="s">
        <v>145</v>
      </c>
      <c r="H25" s="3" t="s">
        <v>146</v>
      </c>
      <c r="I25" s="3">
        <v>-2</v>
      </c>
      <c r="J25" s="3">
        <v>2.133</v>
      </c>
      <c r="K25" s="3" t="s">
        <v>73</v>
      </c>
      <c r="L25" s="3"/>
      <c r="M25" s="3" t="s">
        <v>132</v>
      </c>
      <c r="N25" s="3"/>
      <c r="O25" s="3">
        <v>2</v>
      </c>
      <c r="P25" s="3">
        <v>0</v>
      </c>
      <c r="Q25" s="3" t="s">
        <v>46</v>
      </c>
      <c r="R25" s="3" t="s">
        <v>147</v>
      </c>
      <c r="S25" s="3" t="s">
        <v>62</v>
      </c>
      <c r="T25" s="3" t="s">
        <v>76</v>
      </c>
      <c r="U25" s="3" t="s">
        <v>148</v>
      </c>
      <c r="V25" s="3"/>
      <c r="W25" s="3" t="s">
        <v>149</v>
      </c>
      <c r="X25" s="3"/>
      <c r="Y25" s="3" t="s">
        <v>66</v>
      </c>
      <c r="Z25" s="3" t="s">
        <v>54</v>
      </c>
      <c r="AA25" s="3" t="s">
        <v>55</v>
      </c>
      <c r="AB25" s="3" t="s">
        <v>54</v>
      </c>
      <c r="AC25" s="3" t="s">
        <v>114</v>
      </c>
      <c r="AD25" s="3"/>
      <c r="AE25" s="3"/>
      <c r="AF25" s="3"/>
      <c r="AG25" s="3"/>
      <c r="AH25" s="3"/>
      <c r="AI25" s="3"/>
      <c r="AJ25" s="3"/>
      <c r="AK25" s="3"/>
      <c r="AL25" s="1" t="str">
        <f>LEFT(U25,7)</f>
        <v>TQGP021</v>
      </c>
      <c r="AN25" t="str">
        <f>VLOOKUP(S25,Sheet1!$C:$D,2,0)</f>
        <v>TQG.HANGVTT12</v>
      </c>
    </row>
    <row r="26" spans="1:40" x14ac:dyDescent="0.25">
      <c r="A26" s="3">
        <v>25</v>
      </c>
      <c r="B26" s="3" t="s">
        <v>37</v>
      </c>
      <c r="C26" s="3" t="s">
        <v>38</v>
      </c>
      <c r="D26" s="3" t="s">
        <v>39</v>
      </c>
      <c r="E26" s="3" t="s">
        <v>246</v>
      </c>
      <c r="F26" s="3" t="s">
        <v>543</v>
      </c>
      <c r="G26" s="3" t="s">
        <v>544</v>
      </c>
      <c r="H26" s="3" t="s">
        <v>545</v>
      </c>
      <c r="I26" s="3">
        <v>-2</v>
      </c>
      <c r="J26" s="3">
        <v>2.133</v>
      </c>
      <c r="K26" s="3" t="s">
        <v>73</v>
      </c>
      <c r="L26" s="3"/>
      <c r="M26" s="3" t="s">
        <v>132</v>
      </c>
      <c r="N26" s="3"/>
      <c r="O26" s="3">
        <v>1</v>
      </c>
      <c r="P26" s="3">
        <v>0</v>
      </c>
      <c r="Q26" s="3" t="s">
        <v>46</v>
      </c>
      <c r="R26" s="3" t="s">
        <v>47</v>
      </c>
      <c r="S26" s="3" t="s">
        <v>355</v>
      </c>
      <c r="T26" s="3" t="s">
        <v>76</v>
      </c>
      <c r="U26" s="3" t="s">
        <v>546</v>
      </c>
      <c r="V26" s="3"/>
      <c r="W26" s="3" t="s">
        <v>547</v>
      </c>
      <c r="X26" s="3"/>
      <c r="Y26" s="3" t="s">
        <v>53</v>
      </c>
      <c r="Z26" s="3" t="s">
        <v>54</v>
      </c>
      <c r="AA26" s="3" t="s">
        <v>55</v>
      </c>
      <c r="AB26" s="3" t="s">
        <v>54</v>
      </c>
      <c r="AC26" s="3" t="s">
        <v>114</v>
      </c>
      <c r="AD26" s="3"/>
      <c r="AE26" s="3"/>
      <c r="AF26" s="3"/>
      <c r="AG26" s="3"/>
      <c r="AH26" s="3"/>
      <c r="AI26" s="3"/>
      <c r="AJ26" s="3"/>
      <c r="AK26" s="3"/>
      <c r="AL26" s="1" t="str">
        <f>LEFT(U26,7)</f>
        <v>TQGP022</v>
      </c>
      <c r="AN26" t="str">
        <f>VLOOKUP(S26,Sheet1!$C:$D,2,0)</f>
        <v>LYHK7</v>
      </c>
    </row>
    <row r="27" spans="1:40" x14ac:dyDescent="0.25">
      <c r="A27" s="3">
        <v>26</v>
      </c>
      <c r="B27" s="3" t="s">
        <v>37</v>
      </c>
      <c r="C27" s="3" t="s">
        <v>38</v>
      </c>
      <c r="D27" s="3" t="s">
        <v>39</v>
      </c>
      <c r="E27" s="3" t="s">
        <v>136</v>
      </c>
      <c r="F27" s="3" t="s">
        <v>282</v>
      </c>
      <c r="G27" s="3" t="s">
        <v>283</v>
      </c>
      <c r="H27" s="3" t="s">
        <v>284</v>
      </c>
      <c r="I27" s="3">
        <v>-2</v>
      </c>
      <c r="J27" s="3">
        <v>2.133</v>
      </c>
      <c r="K27" s="3" t="s">
        <v>73</v>
      </c>
      <c r="L27" s="3"/>
      <c r="M27" s="3" t="s">
        <v>132</v>
      </c>
      <c r="N27" s="3"/>
      <c r="O27" s="3">
        <v>1</v>
      </c>
      <c r="P27" s="3">
        <v>0</v>
      </c>
      <c r="Q27" s="3" t="s">
        <v>46</v>
      </c>
      <c r="R27" s="3" t="s">
        <v>47</v>
      </c>
      <c r="S27" s="3" t="s">
        <v>140</v>
      </c>
      <c r="T27" s="3" t="s">
        <v>76</v>
      </c>
      <c r="U27" s="3" t="s">
        <v>285</v>
      </c>
      <c r="V27" s="3"/>
      <c r="W27" s="3" t="s">
        <v>286</v>
      </c>
      <c r="X27" s="3"/>
      <c r="Y27" s="3" t="s">
        <v>53</v>
      </c>
      <c r="Z27" s="3" t="s">
        <v>54</v>
      </c>
      <c r="AA27" s="3" t="s">
        <v>79</v>
      </c>
      <c r="AB27" s="3" t="s">
        <v>54</v>
      </c>
      <c r="AC27" s="3" t="s">
        <v>80</v>
      </c>
      <c r="AD27" s="3"/>
      <c r="AE27" s="3"/>
      <c r="AF27" s="3"/>
      <c r="AG27" s="3"/>
      <c r="AH27" s="3"/>
      <c r="AI27" s="3"/>
      <c r="AJ27" s="3"/>
      <c r="AK27" s="3"/>
      <c r="AL27" s="1" t="str">
        <f>LEFT(U27,7)</f>
        <v>TQGP031</v>
      </c>
      <c r="AN27" t="str">
        <f>VLOOKUP(S27,Sheet1!$C:$D,2,0)</f>
        <v>TAMVTT5</v>
      </c>
    </row>
    <row r="28" spans="1:40" x14ac:dyDescent="0.25">
      <c r="A28" s="3">
        <v>27</v>
      </c>
      <c r="B28" s="3" t="s">
        <v>37</v>
      </c>
      <c r="C28" s="3" t="s">
        <v>38</v>
      </c>
      <c r="D28" s="3" t="s">
        <v>39</v>
      </c>
      <c r="E28" s="3" t="s">
        <v>136</v>
      </c>
      <c r="F28" s="3" t="s">
        <v>254</v>
      </c>
      <c r="G28" s="3" t="s">
        <v>255</v>
      </c>
      <c r="H28" s="3" t="s">
        <v>256</v>
      </c>
      <c r="I28" s="3">
        <v>-2</v>
      </c>
      <c r="J28" s="3">
        <v>2.133</v>
      </c>
      <c r="K28" s="3" t="s">
        <v>73</v>
      </c>
      <c r="L28" s="3"/>
      <c r="M28" s="3" t="s">
        <v>132</v>
      </c>
      <c r="N28" s="3"/>
      <c r="O28" s="3">
        <v>1</v>
      </c>
      <c r="P28" s="3">
        <v>0</v>
      </c>
      <c r="Q28" s="3" t="s">
        <v>46</v>
      </c>
      <c r="R28" s="3" t="s">
        <v>147</v>
      </c>
      <c r="S28" s="3" t="s">
        <v>208</v>
      </c>
      <c r="T28" s="3" t="s">
        <v>160</v>
      </c>
      <c r="U28" s="3" t="s">
        <v>257</v>
      </c>
      <c r="V28" s="3"/>
      <c r="W28" s="3" t="s">
        <v>258</v>
      </c>
      <c r="X28" s="3"/>
      <c r="Y28" s="3" t="s">
        <v>53</v>
      </c>
      <c r="Z28" s="3" t="s">
        <v>54</v>
      </c>
      <c r="AA28" s="3" t="s">
        <v>55</v>
      </c>
      <c r="AB28" s="3" t="s">
        <v>54</v>
      </c>
      <c r="AC28" s="3" t="s">
        <v>114</v>
      </c>
      <c r="AD28" s="3"/>
      <c r="AE28" s="3"/>
      <c r="AF28" s="3"/>
      <c r="AG28" s="3"/>
      <c r="AH28" s="3"/>
      <c r="AI28" s="3"/>
      <c r="AJ28" s="3"/>
      <c r="AK28" s="3"/>
      <c r="AL28" s="1" t="str">
        <f>LEFT(U28,7)</f>
        <v>TQGP027</v>
      </c>
      <c r="AN28" t="str">
        <f>VLOOKUP(S28,Sheet1!$C:$D,2,0)</f>
        <v>TAMVTT5</v>
      </c>
    </row>
    <row r="29" spans="1:40" x14ac:dyDescent="0.25">
      <c r="A29" s="3">
        <v>28</v>
      </c>
      <c r="B29" s="3" t="s">
        <v>37</v>
      </c>
      <c r="C29" s="3" t="s">
        <v>38</v>
      </c>
      <c r="D29" s="3" t="s">
        <v>39</v>
      </c>
      <c r="E29" s="3" t="s">
        <v>150</v>
      </c>
      <c r="F29" s="3" t="s">
        <v>300</v>
      </c>
      <c r="G29" s="3" t="s">
        <v>301</v>
      </c>
      <c r="H29" s="3" t="s">
        <v>302</v>
      </c>
      <c r="I29" s="3">
        <v>-2</v>
      </c>
      <c r="J29" s="3">
        <v>2.133</v>
      </c>
      <c r="K29" s="3" t="s">
        <v>73</v>
      </c>
      <c r="L29" s="3"/>
      <c r="M29" s="3" t="s">
        <v>132</v>
      </c>
      <c r="N29" s="3"/>
      <c r="O29" s="3">
        <v>3</v>
      </c>
      <c r="P29" s="3">
        <v>0</v>
      </c>
      <c r="Q29" s="3" t="s">
        <v>46</v>
      </c>
      <c r="R29" s="3" t="s">
        <v>47</v>
      </c>
      <c r="S29" s="3" t="s">
        <v>187</v>
      </c>
      <c r="T29" s="3" t="s">
        <v>76</v>
      </c>
      <c r="U29" s="3" t="s">
        <v>303</v>
      </c>
      <c r="V29" s="3"/>
      <c r="W29" s="3" t="s">
        <v>304</v>
      </c>
      <c r="X29" s="3"/>
      <c r="Y29" s="3" t="s">
        <v>66</v>
      </c>
      <c r="Z29" s="3" t="s">
        <v>54</v>
      </c>
      <c r="AA29" s="3" t="s">
        <v>55</v>
      </c>
      <c r="AB29" s="3" t="s">
        <v>54</v>
      </c>
      <c r="AC29" s="3" t="s">
        <v>305</v>
      </c>
      <c r="AD29" s="3"/>
      <c r="AE29" s="3"/>
      <c r="AF29" s="3"/>
      <c r="AG29" s="3"/>
      <c r="AH29" s="3"/>
      <c r="AI29" s="3"/>
      <c r="AJ29" s="3"/>
      <c r="AK29" s="3"/>
      <c r="AL29" s="1" t="str">
        <f>LEFT(U29,7)</f>
        <v>TQGP028</v>
      </c>
      <c r="AN29" t="str">
        <f>VLOOKUP(S29,Sheet1!$C:$D,2,0)</f>
        <v>UYENHT15</v>
      </c>
    </row>
    <row r="30" spans="1:40" x14ac:dyDescent="0.25">
      <c r="A30" s="3">
        <v>29</v>
      </c>
      <c r="B30" s="3" t="s">
        <v>37</v>
      </c>
      <c r="C30" s="3" t="s">
        <v>38</v>
      </c>
      <c r="D30" s="3" t="s">
        <v>39</v>
      </c>
      <c r="E30" s="3" t="s">
        <v>81</v>
      </c>
      <c r="F30" s="3" t="s">
        <v>240</v>
      </c>
      <c r="G30" s="3" t="s">
        <v>241</v>
      </c>
      <c r="H30" s="3" t="s">
        <v>242</v>
      </c>
      <c r="I30" s="3">
        <v>-2</v>
      </c>
      <c r="J30" s="3">
        <v>2.133</v>
      </c>
      <c r="K30" s="3" t="s">
        <v>73</v>
      </c>
      <c r="L30" s="3"/>
      <c r="M30" s="3" t="s">
        <v>132</v>
      </c>
      <c r="N30" s="3"/>
      <c r="O30" s="3">
        <v>1</v>
      </c>
      <c r="P30" s="3">
        <v>0</v>
      </c>
      <c r="Q30" s="3" t="s">
        <v>46</v>
      </c>
      <c r="R30" s="3" t="s">
        <v>86</v>
      </c>
      <c r="S30" s="3" t="s">
        <v>243</v>
      </c>
      <c r="T30" s="3" t="s">
        <v>76</v>
      </c>
      <c r="U30" s="3" t="s">
        <v>244</v>
      </c>
      <c r="V30" s="3"/>
      <c r="W30" s="3" t="s">
        <v>245</v>
      </c>
      <c r="X30" s="3"/>
      <c r="Y30" s="3" t="s">
        <v>53</v>
      </c>
      <c r="Z30" s="3" t="s">
        <v>54</v>
      </c>
      <c r="AA30" s="3" t="s">
        <v>55</v>
      </c>
      <c r="AB30" s="3" t="s">
        <v>54</v>
      </c>
      <c r="AC30" s="3" t="s">
        <v>91</v>
      </c>
      <c r="AD30" s="3"/>
      <c r="AE30" s="3"/>
      <c r="AF30" s="3"/>
      <c r="AG30" s="3"/>
      <c r="AH30" s="3"/>
      <c r="AI30" s="3"/>
      <c r="AJ30" s="3"/>
      <c r="AK30" s="3"/>
      <c r="AL30" s="1" t="str">
        <f>LEFT(U30,7)</f>
        <v>TQGP016</v>
      </c>
      <c r="AN30" t="str">
        <f>VLOOKUP(S30,Sheet1!$C:$D,2,0)</f>
        <v>ANHHV15</v>
      </c>
    </row>
    <row r="31" spans="1:40" x14ac:dyDescent="0.25">
      <c r="A31" s="3">
        <v>30</v>
      </c>
      <c r="B31" s="3" t="s">
        <v>37</v>
      </c>
      <c r="C31" s="3" t="s">
        <v>38</v>
      </c>
      <c r="D31" s="3" t="s">
        <v>39</v>
      </c>
      <c r="E31" s="3" t="s">
        <v>246</v>
      </c>
      <c r="F31" s="3" t="s">
        <v>247</v>
      </c>
      <c r="G31" s="3" t="s">
        <v>248</v>
      </c>
      <c r="H31" s="3" t="s">
        <v>249</v>
      </c>
      <c r="I31" s="3">
        <v>-2</v>
      </c>
      <c r="J31" s="3">
        <v>2.133</v>
      </c>
      <c r="K31" s="3" t="s">
        <v>73</v>
      </c>
      <c r="L31" s="3"/>
      <c r="M31" s="3" t="s">
        <v>132</v>
      </c>
      <c r="N31" s="3"/>
      <c r="O31" s="3">
        <v>1</v>
      </c>
      <c r="P31" s="3">
        <v>0</v>
      </c>
      <c r="Q31" s="3" t="s">
        <v>46</v>
      </c>
      <c r="R31" s="3" t="s">
        <v>47</v>
      </c>
      <c r="S31" s="3" t="s">
        <v>250</v>
      </c>
      <c r="T31" s="3" t="s">
        <v>76</v>
      </c>
      <c r="U31" s="3" t="s">
        <v>251</v>
      </c>
      <c r="V31" s="3"/>
      <c r="W31" s="3" t="s">
        <v>252</v>
      </c>
      <c r="X31" s="3"/>
      <c r="Y31" s="3" t="s">
        <v>53</v>
      </c>
      <c r="Z31" s="3" t="s">
        <v>54</v>
      </c>
      <c r="AA31" s="3" t="s">
        <v>55</v>
      </c>
      <c r="AB31" s="3" t="s">
        <v>67</v>
      </c>
      <c r="AC31" s="3" t="s">
        <v>253</v>
      </c>
      <c r="AD31" s="3"/>
      <c r="AE31" s="3"/>
      <c r="AF31" s="3"/>
      <c r="AG31" s="3"/>
      <c r="AH31" s="3"/>
      <c r="AI31" s="3"/>
      <c r="AJ31" s="3"/>
      <c r="AK31" s="3"/>
      <c r="AL31" s="1" t="str">
        <f>LEFT(U31,7)</f>
        <v>TQGP011</v>
      </c>
      <c r="AN31" t="str">
        <f>VLOOKUP(S31,Sheet1!$C:$D,2,0)</f>
        <v>TQG.HANGVTT12</v>
      </c>
    </row>
    <row r="32" spans="1:40" x14ac:dyDescent="0.25">
      <c r="A32" s="3">
        <v>31</v>
      </c>
      <c r="B32" s="3" t="s">
        <v>37</v>
      </c>
      <c r="C32" s="3" t="s">
        <v>38</v>
      </c>
      <c r="D32" s="3" t="s">
        <v>39</v>
      </c>
      <c r="E32" s="3" t="s">
        <v>40</v>
      </c>
      <c r="F32" s="3" t="s">
        <v>277</v>
      </c>
      <c r="G32" s="3" t="s">
        <v>278</v>
      </c>
      <c r="H32" s="3" t="s">
        <v>279</v>
      </c>
      <c r="I32" s="3">
        <v>-2</v>
      </c>
      <c r="J32" s="3">
        <v>2.133</v>
      </c>
      <c r="K32" s="3" t="s">
        <v>73</v>
      </c>
      <c r="L32" s="3"/>
      <c r="M32" s="3" t="s">
        <v>132</v>
      </c>
      <c r="N32" s="3"/>
      <c r="O32" s="3">
        <v>1</v>
      </c>
      <c r="P32" s="3">
        <v>0</v>
      </c>
      <c r="Q32" s="3" t="s">
        <v>46</v>
      </c>
      <c r="R32" s="3" t="s">
        <v>47</v>
      </c>
      <c r="S32" s="3" t="s">
        <v>48</v>
      </c>
      <c r="T32" s="3" t="s">
        <v>49</v>
      </c>
      <c r="U32" s="3" t="s">
        <v>280</v>
      </c>
      <c r="V32" s="3"/>
      <c r="W32" s="3" t="s">
        <v>281</v>
      </c>
      <c r="X32" s="3"/>
      <c r="Y32" s="3" t="s">
        <v>66</v>
      </c>
      <c r="Z32" s="3" t="s">
        <v>54</v>
      </c>
      <c r="AA32" s="3" t="s">
        <v>79</v>
      </c>
      <c r="AB32" s="3" t="s">
        <v>54</v>
      </c>
      <c r="AC32" s="3" t="s">
        <v>80</v>
      </c>
      <c r="AD32" s="3"/>
      <c r="AE32" s="3"/>
      <c r="AF32" s="3"/>
      <c r="AG32" s="3"/>
      <c r="AH32" s="3"/>
      <c r="AI32" s="3"/>
      <c r="AJ32" s="3"/>
      <c r="AK32" s="3"/>
      <c r="AL32" s="1" t="str">
        <f>LEFT(U32,7)</f>
        <v>TQGP008</v>
      </c>
      <c r="AN32" t="str">
        <f>VLOOKUP(S32,Sheet1!$C:$D,2,0)</f>
        <v>TRANGHT28</v>
      </c>
    </row>
    <row r="33" spans="1:40" x14ac:dyDescent="0.25">
      <c r="A33" s="3">
        <v>32</v>
      </c>
      <c r="B33" s="3" t="s">
        <v>37</v>
      </c>
      <c r="C33" s="3" t="s">
        <v>38</v>
      </c>
      <c r="D33" s="3" t="s">
        <v>39</v>
      </c>
      <c r="E33" s="3" t="s">
        <v>136</v>
      </c>
      <c r="F33" s="3" t="s">
        <v>306</v>
      </c>
      <c r="G33" s="3" t="s">
        <v>307</v>
      </c>
      <c r="H33" s="3" t="s">
        <v>308</v>
      </c>
      <c r="I33" s="3">
        <v>-2</v>
      </c>
      <c r="J33" s="3">
        <v>2.133</v>
      </c>
      <c r="K33" s="3" t="s">
        <v>73</v>
      </c>
      <c r="L33" s="3"/>
      <c r="M33" s="3" t="s">
        <v>132</v>
      </c>
      <c r="N33" s="3"/>
      <c r="O33" s="3">
        <v>2</v>
      </c>
      <c r="P33" s="3">
        <v>0</v>
      </c>
      <c r="Q33" s="3" t="s">
        <v>46</v>
      </c>
      <c r="R33" s="3" t="s">
        <v>147</v>
      </c>
      <c r="S33" s="3" t="s">
        <v>208</v>
      </c>
      <c r="T33" s="3" t="s">
        <v>76</v>
      </c>
      <c r="U33" s="3" t="s">
        <v>309</v>
      </c>
      <c r="V33" s="3"/>
      <c r="W33" s="3" t="s">
        <v>310</v>
      </c>
      <c r="X33" s="3"/>
      <c r="Y33" s="3" t="s">
        <v>53</v>
      </c>
      <c r="Z33" s="3" t="s">
        <v>54</v>
      </c>
      <c r="AA33" s="3" t="s">
        <v>55</v>
      </c>
      <c r="AB33" s="3" t="s">
        <v>67</v>
      </c>
      <c r="AC33" s="3" t="s">
        <v>311</v>
      </c>
      <c r="AD33" s="3"/>
      <c r="AE33" s="3"/>
      <c r="AF33" s="3"/>
      <c r="AG33" s="3"/>
      <c r="AH33" s="3"/>
      <c r="AI33" s="3"/>
      <c r="AJ33" s="3"/>
      <c r="AK33" s="3"/>
      <c r="AL33" s="1" t="str">
        <f>LEFT(U33,7)</f>
        <v>TQGP027</v>
      </c>
      <c r="AN33" t="str">
        <f>VLOOKUP(S33,Sheet1!$C:$D,2,0)</f>
        <v>TAMVTT5</v>
      </c>
    </row>
    <row r="34" spans="1:40" x14ac:dyDescent="0.25">
      <c r="A34" s="3">
        <v>33</v>
      </c>
      <c r="B34" s="3" t="s">
        <v>37</v>
      </c>
      <c r="C34" s="3" t="s">
        <v>38</v>
      </c>
      <c r="D34" s="3" t="s">
        <v>39</v>
      </c>
      <c r="E34" s="3" t="s">
        <v>259</v>
      </c>
      <c r="F34" s="3" t="s">
        <v>548</v>
      </c>
      <c r="G34" s="3" t="s">
        <v>549</v>
      </c>
      <c r="H34" s="3" t="s">
        <v>550</v>
      </c>
      <c r="I34" s="3">
        <v>-2</v>
      </c>
      <c r="J34" s="3">
        <v>2.133</v>
      </c>
      <c r="K34" s="3" t="s">
        <v>73</v>
      </c>
      <c r="L34" s="3"/>
      <c r="M34" s="3" t="s">
        <v>132</v>
      </c>
      <c r="N34" s="3"/>
      <c r="O34" s="3">
        <v>1</v>
      </c>
      <c r="P34" s="3">
        <v>0</v>
      </c>
      <c r="Q34" s="3" t="s">
        <v>46</v>
      </c>
      <c r="R34" s="3" t="s">
        <v>47</v>
      </c>
      <c r="S34" s="3" t="s">
        <v>475</v>
      </c>
      <c r="T34" s="3" t="s">
        <v>160</v>
      </c>
      <c r="U34" s="3" t="s">
        <v>551</v>
      </c>
      <c r="V34" s="3"/>
      <c r="W34" s="3" t="s">
        <v>552</v>
      </c>
      <c r="X34" s="3"/>
      <c r="Y34" s="3" t="s">
        <v>66</v>
      </c>
      <c r="Z34" s="3" t="s">
        <v>54</v>
      </c>
      <c r="AA34" s="3" t="s">
        <v>79</v>
      </c>
      <c r="AB34" s="3" t="s">
        <v>54</v>
      </c>
      <c r="AC34" s="3" t="s">
        <v>80</v>
      </c>
      <c r="AD34" s="3"/>
      <c r="AE34" s="3"/>
      <c r="AF34" s="3"/>
      <c r="AG34" s="3"/>
      <c r="AH34" s="3"/>
      <c r="AI34" s="3"/>
      <c r="AJ34" s="3"/>
      <c r="AK34" s="3"/>
      <c r="AL34" s="1" t="str">
        <f>LEFT(U34,7)</f>
        <v>TQGP007</v>
      </c>
      <c r="AN34" t="str">
        <f>VLOOKUP(S34,Sheet1!$C:$D,2,0)</f>
        <v>LYHK7</v>
      </c>
    </row>
    <row r="35" spans="1:40" x14ac:dyDescent="0.25">
      <c r="A35" s="3">
        <v>34</v>
      </c>
      <c r="B35" s="3" t="s">
        <v>37</v>
      </c>
      <c r="C35" s="3" t="s">
        <v>38</v>
      </c>
      <c r="D35" s="3" t="s">
        <v>39</v>
      </c>
      <c r="E35" s="3" t="s">
        <v>176</v>
      </c>
      <c r="F35" s="3" t="s">
        <v>224</v>
      </c>
      <c r="G35" s="3" t="s">
        <v>225</v>
      </c>
      <c r="H35" s="3" t="s">
        <v>226</v>
      </c>
      <c r="I35" s="3">
        <v>20</v>
      </c>
      <c r="J35" s="3">
        <v>4.0999999999999996</v>
      </c>
      <c r="K35" s="3"/>
      <c r="L35" s="3" t="s">
        <v>73</v>
      </c>
      <c r="M35" s="3"/>
      <c r="N35" s="3" t="s">
        <v>132</v>
      </c>
      <c r="O35" s="3">
        <v>2</v>
      </c>
      <c r="P35" s="3">
        <v>0</v>
      </c>
      <c r="Q35" s="3" t="s">
        <v>46</v>
      </c>
      <c r="R35" s="3" t="s">
        <v>47</v>
      </c>
      <c r="S35" s="3" t="s">
        <v>227</v>
      </c>
      <c r="T35" s="3" t="s">
        <v>76</v>
      </c>
      <c r="U35" s="3" t="s">
        <v>228</v>
      </c>
      <c r="V35" s="3"/>
      <c r="W35" s="3" t="s">
        <v>229</v>
      </c>
      <c r="X35" s="3"/>
      <c r="Y35" s="3" t="s">
        <v>53</v>
      </c>
      <c r="Z35" s="3" t="s">
        <v>54</v>
      </c>
      <c r="AA35" s="3" t="s">
        <v>55</v>
      </c>
      <c r="AB35" s="3" t="s">
        <v>54</v>
      </c>
      <c r="AC35" s="3" t="s">
        <v>114</v>
      </c>
      <c r="AD35" s="3"/>
      <c r="AE35" s="3"/>
      <c r="AF35" s="3"/>
      <c r="AG35" s="3"/>
      <c r="AH35" s="3"/>
      <c r="AI35" s="3"/>
      <c r="AJ35" s="3"/>
      <c r="AK35" s="3"/>
      <c r="AL35" s="1" t="str">
        <f>LEFT(U35,7)</f>
        <v>TQGP004</v>
      </c>
      <c r="AN35" t="str">
        <f>VLOOKUP(S35,Sheet1!$C:$D,2,0)</f>
        <v>TRANGDTH35</v>
      </c>
    </row>
    <row r="36" spans="1:40" x14ac:dyDescent="0.25">
      <c r="A36" s="3">
        <v>35</v>
      </c>
      <c r="B36" s="3" t="s">
        <v>37</v>
      </c>
      <c r="C36" s="3" t="s">
        <v>38</v>
      </c>
      <c r="D36" s="3" t="s">
        <v>39</v>
      </c>
      <c r="E36" s="3" t="s">
        <v>57</v>
      </c>
      <c r="F36" s="3" t="s">
        <v>361</v>
      </c>
      <c r="G36" s="3" t="s">
        <v>362</v>
      </c>
      <c r="H36" s="3" t="s">
        <v>363</v>
      </c>
      <c r="I36" s="3">
        <v>-4</v>
      </c>
      <c r="J36" s="3">
        <v>4.133</v>
      </c>
      <c r="K36" s="3" t="s">
        <v>73</v>
      </c>
      <c r="L36" s="3"/>
      <c r="M36" s="3" t="s">
        <v>45</v>
      </c>
      <c r="N36" s="3"/>
      <c r="O36" s="3">
        <v>2</v>
      </c>
      <c r="P36" s="3">
        <v>0</v>
      </c>
      <c r="Q36" s="3" t="s">
        <v>46</v>
      </c>
      <c r="R36" s="3" t="s">
        <v>47</v>
      </c>
      <c r="S36" s="3" t="s">
        <v>62</v>
      </c>
      <c r="T36" s="3" t="s">
        <v>76</v>
      </c>
      <c r="U36" s="3" t="s">
        <v>364</v>
      </c>
      <c r="V36" s="3"/>
      <c r="W36" s="3" t="s">
        <v>365</v>
      </c>
      <c r="X36" s="3"/>
      <c r="Y36" s="3" t="s">
        <v>53</v>
      </c>
      <c r="Z36" s="3" t="s">
        <v>54</v>
      </c>
      <c r="AA36" s="3" t="s">
        <v>79</v>
      </c>
      <c r="AB36" s="3" t="s">
        <v>54</v>
      </c>
      <c r="AC36" s="3" t="s">
        <v>80</v>
      </c>
      <c r="AD36" s="3"/>
      <c r="AE36" s="3"/>
      <c r="AF36" s="3"/>
      <c r="AG36" s="3"/>
      <c r="AH36" s="3"/>
      <c r="AI36" s="3"/>
      <c r="AJ36" s="3"/>
      <c r="AK36" s="3"/>
      <c r="AL36" s="1" t="str">
        <f>LEFT(U36,7)</f>
        <v>TQGP018</v>
      </c>
      <c r="AN36" t="str">
        <f>VLOOKUP(S36,Sheet1!$C:$D,2,0)</f>
        <v>TQG.HANGVTT12</v>
      </c>
    </row>
    <row r="37" spans="1:40" x14ac:dyDescent="0.25">
      <c r="A37" s="3">
        <v>36</v>
      </c>
      <c r="B37" s="3" t="s">
        <v>37</v>
      </c>
      <c r="C37" s="3" t="s">
        <v>38</v>
      </c>
      <c r="D37" s="3" t="s">
        <v>39</v>
      </c>
      <c r="E37" s="3" t="s">
        <v>176</v>
      </c>
      <c r="F37" s="3" t="s">
        <v>324</v>
      </c>
      <c r="G37" s="3" t="s">
        <v>325</v>
      </c>
      <c r="H37" s="3" t="s">
        <v>326</v>
      </c>
      <c r="I37" s="3">
        <v>-4</v>
      </c>
      <c r="J37" s="3">
        <v>4.133</v>
      </c>
      <c r="K37" s="3" t="s">
        <v>73</v>
      </c>
      <c r="L37" s="3" t="s">
        <v>95</v>
      </c>
      <c r="M37" s="3" t="s">
        <v>45</v>
      </c>
      <c r="N37" s="3" t="s">
        <v>132</v>
      </c>
      <c r="O37" s="3">
        <v>2</v>
      </c>
      <c r="P37" s="3">
        <v>0</v>
      </c>
      <c r="Q37" s="3" t="s">
        <v>46</v>
      </c>
      <c r="R37" s="3" t="s">
        <v>47</v>
      </c>
      <c r="S37" s="3" t="s">
        <v>238</v>
      </c>
      <c r="T37" s="3" t="s">
        <v>76</v>
      </c>
      <c r="U37" s="3" t="s">
        <v>327</v>
      </c>
      <c r="V37" s="3"/>
      <c r="W37" s="3" t="s">
        <v>328</v>
      </c>
      <c r="X37" s="3"/>
      <c r="Y37" s="3" t="s">
        <v>53</v>
      </c>
      <c r="Z37" s="3" t="s">
        <v>54</v>
      </c>
      <c r="AA37" s="3" t="s">
        <v>55</v>
      </c>
      <c r="AB37" s="3" t="s">
        <v>217</v>
      </c>
      <c r="AC37" s="3" t="s">
        <v>329</v>
      </c>
      <c r="AD37" s="3"/>
      <c r="AE37" s="3"/>
      <c r="AF37" s="3"/>
      <c r="AG37" s="3"/>
      <c r="AH37" s="3"/>
      <c r="AI37" s="3"/>
      <c r="AJ37" s="3"/>
      <c r="AK37" s="3"/>
      <c r="AL37" s="1" t="str">
        <f>LEFT(U37,7)</f>
        <v>TQGP006</v>
      </c>
      <c r="AN37" t="str">
        <f>VLOOKUP(S37,Sheet1!$C:$D,2,0)</f>
        <v>TRANGHT28</v>
      </c>
    </row>
    <row r="38" spans="1:40" x14ac:dyDescent="0.25">
      <c r="A38" s="3">
        <v>37</v>
      </c>
      <c r="B38" s="3" t="s">
        <v>37</v>
      </c>
      <c r="C38" s="3" t="s">
        <v>38</v>
      </c>
      <c r="D38" s="3" t="s">
        <v>39</v>
      </c>
      <c r="E38" s="3" t="s">
        <v>150</v>
      </c>
      <c r="F38" s="3" t="s">
        <v>219</v>
      </c>
      <c r="G38" s="3" t="s">
        <v>220</v>
      </c>
      <c r="H38" s="3" t="s">
        <v>221</v>
      </c>
      <c r="I38" s="3">
        <v>-4</v>
      </c>
      <c r="J38" s="3">
        <v>4.133</v>
      </c>
      <c r="K38" s="3" t="s">
        <v>73</v>
      </c>
      <c r="L38" s="3"/>
      <c r="M38" s="3" t="s">
        <v>45</v>
      </c>
      <c r="N38" s="3"/>
      <c r="O38" s="3">
        <v>6</v>
      </c>
      <c r="P38" s="3">
        <v>0</v>
      </c>
      <c r="Q38" s="3" t="s">
        <v>46</v>
      </c>
      <c r="R38" s="3" t="s">
        <v>47</v>
      </c>
      <c r="S38" s="3" t="s">
        <v>167</v>
      </c>
      <c r="T38" s="3" t="s">
        <v>76</v>
      </c>
      <c r="U38" s="3" t="s">
        <v>222</v>
      </c>
      <c r="V38" s="3"/>
      <c r="W38" s="3" t="s">
        <v>223</v>
      </c>
      <c r="X38" s="3"/>
      <c r="Y38" s="3" t="s">
        <v>66</v>
      </c>
      <c r="Z38" s="3" t="s">
        <v>54</v>
      </c>
      <c r="AA38" s="3" t="s">
        <v>55</v>
      </c>
      <c r="AB38" s="3" t="s">
        <v>54</v>
      </c>
      <c r="AC38" s="3" t="s">
        <v>114</v>
      </c>
      <c r="AD38" s="3"/>
      <c r="AE38" s="3"/>
      <c r="AF38" s="3"/>
      <c r="AG38" s="3"/>
      <c r="AH38" s="3"/>
      <c r="AI38" s="3"/>
      <c r="AJ38" s="3"/>
      <c r="AK38" s="3"/>
      <c r="AL38" s="1" t="str">
        <f>LEFT(U38,7)</f>
        <v>TQGP037</v>
      </c>
      <c r="AN38" t="str">
        <f>VLOOKUP(S38,Sheet1!$C:$D,2,0)</f>
        <v>UYENHT15</v>
      </c>
    </row>
    <row r="39" spans="1:40" x14ac:dyDescent="0.25">
      <c r="A39" s="3">
        <v>38</v>
      </c>
      <c r="B39" s="3" t="s">
        <v>37</v>
      </c>
      <c r="C39" s="3" t="s">
        <v>38</v>
      </c>
      <c r="D39" s="3" t="s">
        <v>39</v>
      </c>
      <c r="E39" s="3" t="s">
        <v>57</v>
      </c>
      <c r="F39" s="3" t="s">
        <v>334</v>
      </c>
      <c r="G39" s="3" t="s">
        <v>335</v>
      </c>
      <c r="H39" s="3" t="s">
        <v>336</v>
      </c>
      <c r="I39" s="3">
        <v>-4</v>
      </c>
      <c r="J39" s="3">
        <v>4.133</v>
      </c>
      <c r="K39" s="3" t="s">
        <v>73</v>
      </c>
      <c r="L39" s="3"/>
      <c r="M39" s="3" t="s">
        <v>45</v>
      </c>
      <c r="N39" s="3"/>
      <c r="O39" s="3">
        <v>1</v>
      </c>
      <c r="P39" s="3">
        <v>0</v>
      </c>
      <c r="Q39" s="3" t="s">
        <v>46</v>
      </c>
      <c r="R39" s="3" t="s">
        <v>86</v>
      </c>
      <c r="S39" s="3" t="s">
        <v>133</v>
      </c>
      <c r="T39" s="3" t="s">
        <v>76</v>
      </c>
      <c r="U39" s="3" t="s">
        <v>337</v>
      </c>
      <c r="V39" s="3"/>
      <c r="W39" s="3" t="s">
        <v>265</v>
      </c>
      <c r="X39" s="3"/>
      <c r="Y39" s="3"/>
      <c r="Z39" s="3" t="s">
        <v>54</v>
      </c>
      <c r="AA39" s="3" t="s">
        <v>55</v>
      </c>
      <c r="AB39" s="3" t="s">
        <v>54</v>
      </c>
      <c r="AC39" s="3" t="s">
        <v>204</v>
      </c>
      <c r="AD39" s="3"/>
      <c r="AE39" s="3"/>
      <c r="AF39" s="3"/>
      <c r="AG39" s="3"/>
      <c r="AH39" s="3"/>
      <c r="AI39" s="3"/>
      <c r="AJ39" s="3"/>
      <c r="AK39" s="3"/>
      <c r="AL39" s="1" t="str">
        <f>LEFT(U39,7)</f>
        <v>TQGP030</v>
      </c>
      <c r="AN39" t="str">
        <f>VLOOKUP(S39,Sheet1!$C:$D,2,0)</f>
        <v>LYHK7</v>
      </c>
    </row>
    <row r="40" spans="1:40" x14ac:dyDescent="0.25">
      <c r="A40" s="3">
        <v>39</v>
      </c>
      <c r="B40" s="3" t="s">
        <v>37</v>
      </c>
      <c r="C40" s="3" t="s">
        <v>38</v>
      </c>
      <c r="D40" s="3" t="s">
        <v>39</v>
      </c>
      <c r="E40" s="3" t="s">
        <v>69</v>
      </c>
      <c r="F40" s="3" t="s">
        <v>356</v>
      </c>
      <c r="G40" s="3" t="s">
        <v>357</v>
      </c>
      <c r="H40" s="3" t="s">
        <v>358</v>
      </c>
      <c r="I40" s="3">
        <v>-4</v>
      </c>
      <c r="J40" s="3">
        <v>4.133</v>
      </c>
      <c r="K40" s="3" t="s">
        <v>73</v>
      </c>
      <c r="L40" s="3"/>
      <c r="M40" s="3" t="s">
        <v>45</v>
      </c>
      <c r="N40" s="3"/>
      <c r="O40" s="3">
        <v>1</v>
      </c>
      <c r="P40" s="3">
        <v>0</v>
      </c>
      <c r="Q40" s="3" t="s">
        <v>46</v>
      </c>
      <c r="R40" s="3" t="s">
        <v>47</v>
      </c>
      <c r="S40" s="3" t="s">
        <v>102</v>
      </c>
      <c r="T40" s="3" t="s">
        <v>160</v>
      </c>
      <c r="U40" s="3" t="s">
        <v>359</v>
      </c>
      <c r="V40" s="3"/>
      <c r="W40" s="3" t="s">
        <v>360</v>
      </c>
      <c r="X40" s="3"/>
      <c r="Y40" s="3" t="s">
        <v>66</v>
      </c>
      <c r="Z40" s="3" t="s">
        <v>54</v>
      </c>
      <c r="AA40" s="3" t="s">
        <v>79</v>
      </c>
      <c r="AB40" s="3" t="s">
        <v>54</v>
      </c>
      <c r="AC40" s="3" t="s">
        <v>80</v>
      </c>
      <c r="AD40" s="3"/>
      <c r="AE40" s="3"/>
      <c r="AF40" s="3"/>
      <c r="AG40" s="3"/>
      <c r="AH40" s="3"/>
      <c r="AI40" s="3"/>
      <c r="AJ40" s="3"/>
      <c r="AK40" s="3"/>
      <c r="AL40" s="1" t="str">
        <f>LEFT(U40,7)</f>
        <v>TQGP013</v>
      </c>
      <c r="AN40" t="str">
        <f>VLOOKUP(S40,Sheet1!$C:$D,2,0)</f>
        <v>HUONGTT33</v>
      </c>
    </row>
    <row r="41" spans="1:40" x14ac:dyDescent="0.25">
      <c r="A41" s="3">
        <v>40</v>
      </c>
      <c r="B41" s="3" t="s">
        <v>37</v>
      </c>
      <c r="C41" s="3" t="s">
        <v>38</v>
      </c>
      <c r="D41" s="3" t="s">
        <v>39</v>
      </c>
      <c r="E41" s="3" t="s">
        <v>136</v>
      </c>
      <c r="F41" s="3" t="s">
        <v>205</v>
      </c>
      <c r="G41" s="3" t="s">
        <v>206</v>
      </c>
      <c r="H41" s="3" t="s">
        <v>207</v>
      </c>
      <c r="I41" s="3">
        <v>-4</v>
      </c>
      <c r="J41" s="3">
        <v>4.133</v>
      </c>
      <c r="K41" s="3" t="s">
        <v>73</v>
      </c>
      <c r="L41" s="3"/>
      <c r="M41" s="3" t="s">
        <v>45</v>
      </c>
      <c r="N41" s="3"/>
      <c r="O41" s="3">
        <v>2</v>
      </c>
      <c r="P41" s="3">
        <v>0</v>
      </c>
      <c r="Q41" s="3" t="s">
        <v>46</v>
      </c>
      <c r="R41" s="3" t="s">
        <v>147</v>
      </c>
      <c r="S41" s="3" t="s">
        <v>208</v>
      </c>
      <c r="T41" s="3" t="s">
        <v>160</v>
      </c>
      <c r="U41" s="3" t="s">
        <v>209</v>
      </c>
      <c r="V41" s="3"/>
      <c r="W41" s="3" t="s">
        <v>210</v>
      </c>
      <c r="X41" s="3"/>
      <c r="Y41" s="3" t="s">
        <v>53</v>
      </c>
      <c r="Z41" s="3" t="s">
        <v>54</v>
      </c>
      <c r="AA41" s="3" t="s">
        <v>55</v>
      </c>
      <c r="AB41" s="3" t="s">
        <v>54</v>
      </c>
      <c r="AC41" s="3" t="s">
        <v>114</v>
      </c>
      <c r="AD41" s="3"/>
      <c r="AE41" s="3"/>
      <c r="AF41" s="3"/>
      <c r="AG41" s="3"/>
      <c r="AH41" s="3"/>
      <c r="AI41" s="3"/>
      <c r="AJ41" s="3"/>
      <c r="AK41" s="3"/>
      <c r="AL41" s="1" t="str">
        <f>LEFT(U41,7)</f>
        <v>TQGP026</v>
      </c>
      <c r="AN41" t="str">
        <f>VLOOKUP(S41,Sheet1!$C:$D,2,0)</f>
        <v>TAMVTT5</v>
      </c>
    </row>
    <row r="42" spans="1:40" x14ac:dyDescent="0.25">
      <c r="A42" s="3">
        <v>41</v>
      </c>
      <c r="B42" s="3" t="s">
        <v>37</v>
      </c>
      <c r="C42" s="3" t="s">
        <v>38</v>
      </c>
      <c r="D42" s="3" t="s">
        <v>39</v>
      </c>
      <c r="E42" s="3" t="s">
        <v>81</v>
      </c>
      <c r="F42" s="3" t="s">
        <v>553</v>
      </c>
      <c r="G42" s="3" t="s">
        <v>554</v>
      </c>
      <c r="H42" s="3" t="s">
        <v>555</v>
      </c>
      <c r="I42" s="3">
        <v>-4</v>
      </c>
      <c r="J42" s="3">
        <v>4.133</v>
      </c>
      <c r="K42" s="3" t="s">
        <v>73</v>
      </c>
      <c r="L42" s="3"/>
      <c r="M42" s="3" t="s">
        <v>45</v>
      </c>
      <c r="N42" s="3"/>
      <c r="O42" s="3">
        <v>1</v>
      </c>
      <c r="P42" s="3">
        <v>0</v>
      </c>
      <c r="Q42" s="3" t="s">
        <v>46</v>
      </c>
      <c r="R42" s="3" t="s">
        <v>47</v>
      </c>
      <c r="S42" s="3" t="s">
        <v>243</v>
      </c>
      <c r="T42" s="3" t="s">
        <v>160</v>
      </c>
      <c r="U42" s="3" t="s">
        <v>556</v>
      </c>
      <c r="V42" s="3"/>
      <c r="W42" s="3" t="s">
        <v>557</v>
      </c>
      <c r="X42" s="3"/>
      <c r="Y42" s="3" t="s">
        <v>53</v>
      </c>
      <c r="Z42" s="3" t="s">
        <v>54</v>
      </c>
      <c r="AA42" s="3" t="s">
        <v>55</v>
      </c>
      <c r="AB42" s="3" t="s">
        <v>54</v>
      </c>
      <c r="AC42" s="3" t="s">
        <v>204</v>
      </c>
      <c r="AD42" s="3" t="s">
        <v>54</v>
      </c>
      <c r="AE42" s="3" t="s">
        <v>143</v>
      </c>
      <c r="AF42" s="3"/>
      <c r="AG42" s="3"/>
      <c r="AH42" s="3"/>
      <c r="AI42" s="3"/>
      <c r="AJ42" s="3"/>
      <c r="AK42" s="3"/>
      <c r="AL42" s="1" t="str">
        <f>LEFT(U42,7)</f>
        <v>TQGP016</v>
      </c>
      <c r="AN42" t="str">
        <f>VLOOKUP(S42,Sheet1!$C:$D,2,0)</f>
        <v>ANHHV15</v>
      </c>
    </row>
    <row r="43" spans="1:40" x14ac:dyDescent="0.25">
      <c r="A43" s="3">
        <v>42</v>
      </c>
      <c r="B43" s="3" t="s">
        <v>37</v>
      </c>
      <c r="C43" s="3" t="s">
        <v>38</v>
      </c>
      <c r="D43" s="3" t="s">
        <v>39</v>
      </c>
      <c r="E43" s="3" t="s">
        <v>136</v>
      </c>
      <c r="F43" s="3" t="s">
        <v>366</v>
      </c>
      <c r="G43" s="3" t="s">
        <v>367</v>
      </c>
      <c r="H43" s="3" t="s">
        <v>368</v>
      </c>
      <c r="I43" s="3">
        <v>-4</v>
      </c>
      <c r="J43" s="3">
        <v>4.133</v>
      </c>
      <c r="K43" s="3" t="s">
        <v>73</v>
      </c>
      <c r="L43" s="3"/>
      <c r="M43" s="3" t="s">
        <v>45</v>
      </c>
      <c r="N43" s="3"/>
      <c r="O43" s="3">
        <v>7</v>
      </c>
      <c r="P43" s="3">
        <v>1</v>
      </c>
      <c r="Q43" s="3" t="s">
        <v>46</v>
      </c>
      <c r="R43" s="3" t="s">
        <v>173</v>
      </c>
      <c r="S43" s="3" t="s">
        <v>140</v>
      </c>
      <c r="T43" s="3" t="s">
        <v>76</v>
      </c>
      <c r="U43" s="3" t="s">
        <v>369</v>
      </c>
      <c r="V43" s="3"/>
      <c r="W43" s="3" t="s">
        <v>370</v>
      </c>
      <c r="X43" s="3"/>
      <c r="Y43" s="3" t="s">
        <v>53</v>
      </c>
      <c r="Z43" s="3" t="s">
        <v>54</v>
      </c>
      <c r="AA43" s="3" t="s">
        <v>55</v>
      </c>
      <c r="AB43" s="3" t="s">
        <v>54</v>
      </c>
      <c r="AC43" s="3" t="s">
        <v>114</v>
      </c>
      <c r="AD43" s="3"/>
      <c r="AE43" s="3"/>
      <c r="AF43" s="3"/>
      <c r="AG43" s="3"/>
      <c r="AH43" s="3"/>
      <c r="AI43" s="3"/>
      <c r="AJ43" s="3"/>
      <c r="AK43" s="3"/>
      <c r="AL43" s="1" t="str">
        <f>LEFT(U43,7)</f>
        <v>TQGP031</v>
      </c>
      <c r="AN43" t="str">
        <f>VLOOKUP(S43,Sheet1!$C:$D,2,0)</f>
        <v>TAMVTT5</v>
      </c>
    </row>
    <row r="44" spans="1:40" x14ac:dyDescent="0.25">
      <c r="A44" s="3">
        <v>43</v>
      </c>
      <c r="B44" s="3" t="s">
        <v>37</v>
      </c>
      <c r="C44" s="3" t="s">
        <v>38</v>
      </c>
      <c r="D44" s="3" t="s">
        <v>39</v>
      </c>
      <c r="E44" s="3" t="s">
        <v>136</v>
      </c>
      <c r="F44" s="3" t="s">
        <v>338</v>
      </c>
      <c r="G44" s="3" t="s">
        <v>339</v>
      </c>
      <c r="H44" s="3" t="s">
        <v>340</v>
      </c>
      <c r="I44" s="3">
        <v>-4</v>
      </c>
      <c r="J44" s="3">
        <v>4.133</v>
      </c>
      <c r="K44" s="3" t="s">
        <v>73</v>
      </c>
      <c r="L44" s="3"/>
      <c r="M44" s="3" t="s">
        <v>45</v>
      </c>
      <c r="N44" s="3"/>
      <c r="O44" s="3">
        <v>5</v>
      </c>
      <c r="P44" s="3">
        <v>1</v>
      </c>
      <c r="Q44" s="3" t="s">
        <v>46</v>
      </c>
      <c r="R44" s="3" t="s">
        <v>47</v>
      </c>
      <c r="S44" s="3" t="s">
        <v>208</v>
      </c>
      <c r="T44" s="3" t="s">
        <v>76</v>
      </c>
      <c r="U44" s="3" t="s">
        <v>341</v>
      </c>
      <c r="V44" s="3"/>
      <c r="W44" s="3" t="s">
        <v>342</v>
      </c>
      <c r="X44" s="3" t="s">
        <v>343</v>
      </c>
      <c r="Y44" s="3" t="s">
        <v>53</v>
      </c>
      <c r="Z44" s="3" t="s">
        <v>54</v>
      </c>
      <c r="AA44" s="3" t="s">
        <v>55</v>
      </c>
      <c r="AB44" s="3" t="s">
        <v>54</v>
      </c>
      <c r="AC44" s="3" t="s">
        <v>305</v>
      </c>
      <c r="AD44" s="3"/>
      <c r="AE44" s="3"/>
      <c r="AF44" s="3"/>
      <c r="AG44" s="3"/>
      <c r="AH44" s="3"/>
      <c r="AI44" s="3"/>
      <c r="AJ44" s="3"/>
      <c r="AK44" s="3"/>
      <c r="AL44" s="1" t="str">
        <f>LEFT(U44,7)</f>
        <v>TQGP026</v>
      </c>
      <c r="AN44" t="str">
        <f>VLOOKUP(S44,Sheet1!$C:$D,2,0)</f>
        <v>TAMVTT5</v>
      </c>
    </row>
    <row r="45" spans="1:40" x14ac:dyDescent="0.25">
      <c r="A45" s="3">
        <v>44</v>
      </c>
      <c r="B45" s="3" t="s">
        <v>37</v>
      </c>
      <c r="C45" s="3" t="s">
        <v>38</v>
      </c>
      <c r="D45" s="3" t="s">
        <v>39</v>
      </c>
      <c r="E45" s="3" t="s">
        <v>69</v>
      </c>
      <c r="F45" s="3" t="s">
        <v>350</v>
      </c>
      <c r="G45" s="3" t="s">
        <v>351</v>
      </c>
      <c r="H45" s="3" t="s">
        <v>352</v>
      </c>
      <c r="I45" s="3">
        <v>-4</v>
      </c>
      <c r="J45" s="3">
        <v>4.133</v>
      </c>
      <c r="K45" s="3" t="s">
        <v>73</v>
      </c>
      <c r="L45" s="3"/>
      <c r="M45" s="3" t="s">
        <v>45</v>
      </c>
      <c r="N45" s="3"/>
      <c r="O45" s="3">
        <v>2</v>
      </c>
      <c r="P45" s="3">
        <v>0</v>
      </c>
      <c r="Q45" s="3" t="s">
        <v>46</v>
      </c>
      <c r="R45" s="3" t="s">
        <v>47</v>
      </c>
      <c r="S45" s="3" t="s">
        <v>75</v>
      </c>
      <c r="T45" s="3" t="s">
        <v>76</v>
      </c>
      <c r="U45" s="3" t="s">
        <v>353</v>
      </c>
      <c r="V45" s="3"/>
      <c r="W45" s="3" t="s">
        <v>354</v>
      </c>
      <c r="X45" s="3"/>
      <c r="Y45" s="3" t="s">
        <v>53</v>
      </c>
      <c r="Z45" s="3" t="s">
        <v>54</v>
      </c>
      <c r="AA45" s="3" t="s">
        <v>55</v>
      </c>
      <c r="AB45" s="3" t="s">
        <v>67</v>
      </c>
      <c r="AC45" s="3" t="s">
        <v>68</v>
      </c>
      <c r="AD45" s="3"/>
      <c r="AE45" s="3"/>
      <c r="AF45" s="3"/>
      <c r="AG45" s="3"/>
      <c r="AH45" s="3"/>
      <c r="AI45" s="3"/>
      <c r="AJ45" s="3"/>
      <c r="AK45" s="3"/>
      <c r="AL45" s="1" t="str">
        <f>LEFT(U45,7)</f>
        <v>TQGP014</v>
      </c>
      <c r="AN45" t="str">
        <f>VLOOKUP(S45,Sheet1!$C:$D,2,0)</f>
        <v>ANHHV15</v>
      </c>
    </row>
    <row r="46" spans="1:40" x14ac:dyDescent="0.25">
      <c r="A46" s="3">
        <v>45</v>
      </c>
      <c r="B46" s="3" t="s">
        <v>37</v>
      </c>
      <c r="C46" s="3" t="s">
        <v>38</v>
      </c>
      <c r="D46" s="3" t="s">
        <v>39</v>
      </c>
      <c r="E46" s="3" t="s">
        <v>121</v>
      </c>
      <c r="F46" s="3" t="s">
        <v>376</v>
      </c>
      <c r="G46" s="3" t="s">
        <v>377</v>
      </c>
      <c r="H46" s="3" t="s">
        <v>378</v>
      </c>
      <c r="I46" s="3">
        <v>-4</v>
      </c>
      <c r="J46" s="3">
        <v>4.133</v>
      </c>
      <c r="K46" s="3" t="s">
        <v>73</v>
      </c>
      <c r="L46" s="3"/>
      <c r="M46" s="3" t="s">
        <v>45</v>
      </c>
      <c r="N46" s="3"/>
      <c r="O46" s="3">
        <v>2</v>
      </c>
      <c r="P46" s="3">
        <v>0</v>
      </c>
      <c r="Q46" s="3" t="s">
        <v>46</v>
      </c>
      <c r="R46" s="3" t="s">
        <v>47</v>
      </c>
      <c r="S46" s="3" t="s">
        <v>379</v>
      </c>
      <c r="T46" s="3" t="s">
        <v>76</v>
      </c>
      <c r="U46" s="3" t="s">
        <v>380</v>
      </c>
      <c r="V46" s="3"/>
      <c r="W46" s="3" t="s">
        <v>381</v>
      </c>
      <c r="X46" s="3"/>
      <c r="Y46" s="3" t="s">
        <v>66</v>
      </c>
      <c r="Z46" s="3" t="s">
        <v>54</v>
      </c>
      <c r="AA46" s="3" t="s">
        <v>79</v>
      </c>
      <c r="AB46" s="3" t="s">
        <v>54</v>
      </c>
      <c r="AC46" s="3" t="s">
        <v>80</v>
      </c>
      <c r="AD46" s="3"/>
      <c r="AE46" s="3"/>
      <c r="AF46" s="3"/>
      <c r="AG46" s="3"/>
      <c r="AH46" s="3"/>
      <c r="AI46" s="3"/>
      <c r="AJ46" s="3"/>
      <c r="AK46" s="3"/>
      <c r="AL46" s="1" t="str">
        <f>LEFT(U46,7)</f>
        <v>TQGP035</v>
      </c>
      <c r="AN46" t="str">
        <f>VLOOKUP(S46,Sheet1!$C:$D,2,0)</f>
        <v>HUONGTT33</v>
      </c>
    </row>
    <row r="47" spans="1:40" x14ac:dyDescent="0.25">
      <c r="A47" s="3">
        <v>46</v>
      </c>
      <c r="B47" s="3" t="s">
        <v>37</v>
      </c>
      <c r="C47" s="3" t="s">
        <v>38</v>
      </c>
      <c r="D47" s="3" t="s">
        <v>39</v>
      </c>
      <c r="E47" s="3" t="s">
        <v>246</v>
      </c>
      <c r="F47" s="3" t="s">
        <v>344</v>
      </c>
      <c r="G47" s="3" t="s">
        <v>345</v>
      </c>
      <c r="H47" s="3" t="s">
        <v>346</v>
      </c>
      <c r="I47" s="3">
        <v>-4</v>
      </c>
      <c r="J47" s="3">
        <v>4.133</v>
      </c>
      <c r="K47" s="3" t="s">
        <v>73</v>
      </c>
      <c r="L47" s="3"/>
      <c r="M47" s="3" t="s">
        <v>45</v>
      </c>
      <c r="N47" s="3"/>
      <c r="O47" s="3">
        <v>2</v>
      </c>
      <c r="P47" s="3">
        <v>0</v>
      </c>
      <c r="Q47" s="3" t="s">
        <v>46</v>
      </c>
      <c r="R47" s="3" t="s">
        <v>47</v>
      </c>
      <c r="S47" s="3" t="s">
        <v>347</v>
      </c>
      <c r="T47" s="3" t="s">
        <v>76</v>
      </c>
      <c r="U47" s="3" t="s">
        <v>348</v>
      </c>
      <c r="V47" s="3"/>
      <c r="W47" s="3" t="s">
        <v>349</v>
      </c>
      <c r="X47" s="3"/>
      <c r="Y47" s="3" t="s">
        <v>66</v>
      </c>
      <c r="Z47" s="3" t="s">
        <v>54</v>
      </c>
      <c r="AA47" s="3" t="s">
        <v>55</v>
      </c>
      <c r="AB47" s="3" t="s">
        <v>54</v>
      </c>
      <c r="AC47" s="3" t="s">
        <v>114</v>
      </c>
      <c r="AD47" s="3"/>
      <c r="AE47" s="3"/>
      <c r="AF47" s="3"/>
      <c r="AG47" s="3"/>
      <c r="AH47" s="3"/>
      <c r="AI47" s="3"/>
      <c r="AJ47" s="3"/>
      <c r="AK47" s="3"/>
      <c r="AL47" s="1" t="str">
        <f>LEFT(U47,7)</f>
        <v>TQGP012</v>
      </c>
      <c r="AN47" t="str">
        <f>VLOOKUP(S47,Sheet1!$C:$D,2,0)</f>
        <v>TQG.HANGVTT12</v>
      </c>
    </row>
    <row r="48" spans="1:40" x14ac:dyDescent="0.25">
      <c r="A48" s="3">
        <v>47</v>
      </c>
      <c r="B48" s="3" t="s">
        <v>37</v>
      </c>
      <c r="C48" s="3" t="s">
        <v>38</v>
      </c>
      <c r="D48" s="3" t="s">
        <v>39</v>
      </c>
      <c r="E48" s="3" t="s">
        <v>190</v>
      </c>
      <c r="F48" s="3" t="s">
        <v>199</v>
      </c>
      <c r="G48" s="3" t="s">
        <v>200</v>
      </c>
      <c r="H48" s="3" t="s">
        <v>201</v>
      </c>
      <c r="I48" s="3">
        <v>-4</v>
      </c>
      <c r="J48" s="3">
        <v>4.133</v>
      </c>
      <c r="K48" s="3" t="s">
        <v>73</v>
      </c>
      <c r="L48" s="3"/>
      <c r="M48" s="3" t="s">
        <v>45</v>
      </c>
      <c r="N48" s="3"/>
      <c r="O48" s="3">
        <v>2</v>
      </c>
      <c r="P48" s="3">
        <v>0</v>
      </c>
      <c r="Q48" s="3" t="s">
        <v>46</v>
      </c>
      <c r="R48" s="3" t="s">
        <v>47</v>
      </c>
      <c r="S48" s="3" t="s">
        <v>194</v>
      </c>
      <c r="T48" s="3" t="s">
        <v>76</v>
      </c>
      <c r="U48" s="3" t="s">
        <v>202</v>
      </c>
      <c r="V48" s="3"/>
      <c r="W48" s="3" t="s">
        <v>203</v>
      </c>
      <c r="X48" s="3"/>
      <c r="Y48" s="3" t="s">
        <v>53</v>
      </c>
      <c r="Z48" s="3" t="s">
        <v>54</v>
      </c>
      <c r="AA48" s="3" t="s">
        <v>55</v>
      </c>
      <c r="AB48" s="3" t="s">
        <v>54</v>
      </c>
      <c r="AC48" s="3" t="s">
        <v>204</v>
      </c>
      <c r="AD48" s="3"/>
      <c r="AE48" s="3"/>
      <c r="AF48" s="3"/>
      <c r="AG48" s="3"/>
      <c r="AH48" s="3"/>
      <c r="AI48" s="3"/>
      <c r="AJ48" s="3"/>
      <c r="AK48" s="3"/>
      <c r="AL48" s="1" t="str">
        <f>LEFT(U48,7)</f>
        <v>TQGP021</v>
      </c>
      <c r="AN48" t="str">
        <f>VLOOKUP(S48,Sheet1!$C:$D,2,0)</f>
        <v>TQG.HANGVTT12</v>
      </c>
    </row>
    <row r="49" spans="1:40" x14ac:dyDescent="0.25">
      <c r="A49" s="3">
        <v>48</v>
      </c>
      <c r="B49" s="3" t="s">
        <v>37</v>
      </c>
      <c r="C49" s="3" t="s">
        <v>38</v>
      </c>
      <c r="D49" s="3" t="s">
        <v>39</v>
      </c>
      <c r="E49" s="3" t="s">
        <v>150</v>
      </c>
      <c r="F49" s="3" t="s">
        <v>164</v>
      </c>
      <c r="G49" s="3" t="s">
        <v>165</v>
      </c>
      <c r="H49" s="3" t="s">
        <v>166</v>
      </c>
      <c r="I49" s="3">
        <v>-4</v>
      </c>
      <c r="J49" s="3">
        <v>4.133</v>
      </c>
      <c r="K49" s="3" t="s">
        <v>73</v>
      </c>
      <c r="L49" s="3"/>
      <c r="M49" s="3" t="s">
        <v>45</v>
      </c>
      <c r="N49" s="3"/>
      <c r="O49" s="3">
        <v>10</v>
      </c>
      <c r="P49" s="3">
        <v>2</v>
      </c>
      <c r="Q49" s="3" t="s">
        <v>46</v>
      </c>
      <c r="R49" s="3" t="s">
        <v>47</v>
      </c>
      <c r="S49" s="3" t="s">
        <v>167</v>
      </c>
      <c r="T49" s="3" t="s">
        <v>76</v>
      </c>
      <c r="U49" s="3" t="s">
        <v>168</v>
      </c>
      <c r="V49" s="3"/>
      <c r="W49" s="3" t="s">
        <v>169</v>
      </c>
      <c r="X49" s="3"/>
      <c r="Y49" s="3" t="s">
        <v>53</v>
      </c>
      <c r="Z49" s="3" t="s">
        <v>54</v>
      </c>
      <c r="AA49" s="3" t="s">
        <v>55</v>
      </c>
      <c r="AB49" s="3" t="s">
        <v>54</v>
      </c>
      <c r="AC49" s="3" t="s">
        <v>56</v>
      </c>
      <c r="AD49" s="3"/>
      <c r="AE49" s="3"/>
      <c r="AF49" s="3"/>
      <c r="AG49" s="3"/>
      <c r="AH49" s="3"/>
      <c r="AI49" s="3"/>
      <c r="AJ49" s="3"/>
      <c r="AK49" s="3"/>
      <c r="AL49" s="1" t="str">
        <f>LEFT(U49,7)</f>
        <v>TQGP037</v>
      </c>
      <c r="AN49" t="str">
        <f>VLOOKUP(S49,Sheet1!$C:$D,2,0)</f>
        <v>UYENHT15</v>
      </c>
    </row>
    <row r="50" spans="1:40" x14ac:dyDescent="0.25">
      <c r="A50" s="3">
        <v>49</v>
      </c>
      <c r="B50" s="3" t="s">
        <v>37</v>
      </c>
      <c r="C50" s="3" t="s">
        <v>38</v>
      </c>
      <c r="D50" s="3" t="s">
        <v>39</v>
      </c>
      <c r="E50" s="3" t="s">
        <v>259</v>
      </c>
      <c r="F50" s="3" t="s">
        <v>371</v>
      </c>
      <c r="G50" s="3" t="s">
        <v>372</v>
      </c>
      <c r="H50" s="3" t="s">
        <v>373</v>
      </c>
      <c r="I50" s="3">
        <v>-4</v>
      </c>
      <c r="J50" s="3">
        <v>4.133</v>
      </c>
      <c r="K50" s="3" t="s">
        <v>73</v>
      </c>
      <c r="L50" s="3"/>
      <c r="M50" s="3" t="s">
        <v>45</v>
      </c>
      <c r="N50" s="3"/>
      <c r="O50" s="3">
        <v>1</v>
      </c>
      <c r="P50" s="3">
        <v>3</v>
      </c>
      <c r="Q50" s="3" t="s">
        <v>46</v>
      </c>
      <c r="R50" s="3" t="s">
        <v>86</v>
      </c>
      <c r="S50" s="3" t="s">
        <v>374</v>
      </c>
      <c r="T50" s="3" t="s">
        <v>76</v>
      </c>
      <c r="U50" s="3" t="s">
        <v>558</v>
      </c>
      <c r="V50" s="3"/>
      <c r="W50" s="3" t="s">
        <v>375</v>
      </c>
      <c r="X50" s="3"/>
      <c r="Y50" s="3" t="s">
        <v>66</v>
      </c>
      <c r="Z50" s="3" t="s">
        <v>54</v>
      </c>
      <c r="AA50" s="3" t="s">
        <v>55</v>
      </c>
      <c r="AB50" s="3" t="s">
        <v>54</v>
      </c>
      <c r="AC50" s="3" t="s">
        <v>56</v>
      </c>
      <c r="AD50" s="3"/>
      <c r="AE50" s="3"/>
      <c r="AF50" s="3"/>
      <c r="AG50" s="3"/>
      <c r="AH50" s="3"/>
      <c r="AI50" s="3"/>
      <c r="AJ50" s="3"/>
      <c r="AK50" s="3"/>
      <c r="AL50" s="1" t="str">
        <f>LEFT(U50,7)</f>
        <v>TQGP001</v>
      </c>
      <c r="AN50" t="str">
        <f>VLOOKUP(S50,Sheet1!$C:$D,2,0)</f>
        <v>HUONGTT33</v>
      </c>
    </row>
    <row r="51" spans="1:40" x14ac:dyDescent="0.25">
      <c r="A51" s="3">
        <v>50</v>
      </c>
      <c r="B51" s="3" t="s">
        <v>37</v>
      </c>
      <c r="C51" s="3" t="s">
        <v>38</v>
      </c>
      <c r="D51" s="3" t="s">
        <v>39</v>
      </c>
      <c r="E51" s="3" t="s">
        <v>57</v>
      </c>
      <c r="F51" s="3" t="s">
        <v>330</v>
      </c>
      <c r="G51" s="3" t="s">
        <v>331</v>
      </c>
      <c r="H51" s="3" t="s">
        <v>332</v>
      </c>
      <c r="I51" s="3">
        <v>-4</v>
      </c>
      <c r="J51" s="3">
        <v>4.133</v>
      </c>
      <c r="K51" s="3" t="s">
        <v>73</v>
      </c>
      <c r="L51" s="3"/>
      <c r="M51" s="3" t="s">
        <v>45</v>
      </c>
      <c r="N51" s="3"/>
      <c r="O51" s="3">
        <v>1</v>
      </c>
      <c r="P51" s="3">
        <v>0</v>
      </c>
      <c r="Q51" s="3" t="s">
        <v>46</v>
      </c>
      <c r="R51" s="3" t="s">
        <v>86</v>
      </c>
      <c r="S51" s="3" t="s">
        <v>133</v>
      </c>
      <c r="T51" s="3" t="s">
        <v>76</v>
      </c>
      <c r="U51" s="3" t="s">
        <v>333</v>
      </c>
      <c r="V51" s="3"/>
      <c r="W51" s="3" t="s">
        <v>265</v>
      </c>
      <c r="X51" s="3"/>
      <c r="Y51" s="3" t="s">
        <v>53</v>
      </c>
      <c r="Z51" s="3" t="s">
        <v>54</v>
      </c>
      <c r="AA51" s="3" t="s">
        <v>55</v>
      </c>
      <c r="AB51" s="3" t="s">
        <v>54</v>
      </c>
      <c r="AC51" s="3" t="s">
        <v>114</v>
      </c>
      <c r="AD51" s="3"/>
      <c r="AE51" s="3"/>
      <c r="AF51" s="3"/>
      <c r="AG51" s="3"/>
      <c r="AH51" s="3"/>
      <c r="AI51" s="3"/>
      <c r="AJ51" s="3"/>
      <c r="AK51" s="3"/>
      <c r="AL51" s="1" t="str">
        <f>LEFT(U51,7)</f>
        <v>TQGP032</v>
      </c>
      <c r="AN51" t="str">
        <f>VLOOKUP(S51,Sheet1!$C:$D,2,0)</f>
        <v>LYHK7</v>
      </c>
    </row>
    <row r="52" spans="1:40" x14ac:dyDescent="0.25">
      <c r="A52" s="3">
        <v>51</v>
      </c>
      <c r="B52" s="3" t="s">
        <v>37</v>
      </c>
      <c r="C52" s="3" t="s">
        <v>38</v>
      </c>
      <c r="D52" s="3" t="s">
        <v>39</v>
      </c>
      <c r="E52" s="3" t="s">
        <v>57</v>
      </c>
      <c r="F52" s="3" t="s">
        <v>559</v>
      </c>
      <c r="G52" s="3" t="s">
        <v>560</v>
      </c>
      <c r="H52" s="3" t="s">
        <v>561</v>
      </c>
      <c r="I52" s="3">
        <v>-4</v>
      </c>
      <c r="J52" s="3">
        <v>4.133</v>
      </c>
      <c r="K52" s="3" t="s">
        <v>73</v>
      </c>
      <c r="L52" s="3" t="s">
        <v>73</v>
      </c>
      <c r="M52" s="3" t="s">
        <v>45</v>
      </c>
      <c r="N52" s="3" t="s">
        <v>45</v>
      </c>
      <c r="O52" s="3">
        <v>1</v>
      </c>
      <c r="P52" s="3">
        <v>0</v>
      </c>
      <c r="Q52" s="3" t="s">
        <v>46</v>
      </c>
      <c r="R52" s="3" t="s">
        <v>147</v>
      </c>
      <c r="S52" s="3" t="s">
        <v>133</v>
      </c>
      <c r="T52" s="3" t="s">
        <v>76</v>
      </c>
      <c r="U52" s="3" t="s">
        <v>562</v>
      </c>
      <c r="V52" s="3"/>
      <c r="W52" s="3" t="s">
        <v>563</v>
      </c>
      <c r="X52" s="3" t="s">
        <v>564</v>
      </c>
      <c r="Y52" s="3" t="s">
        <v>53</v>
      </c>
      <c r="Z52" s="3" t="s">
        <v>54</v>
      </c>
      <c r="AA52" s="3"/>
      <c r="AB52" s="3" t="s">
        <v>54</v>
      </c>
      <c r="AC52" s="3" t="s">
        <v>114</v>
      </c>
      <c r="AD52" s="3"/>
      <c r="AE52" s="3"/>
      <c r="AF52" s="3"/>
      <c r="AG52" s="3"/>
      <c r="AH52" s="3"/>
      <c r="AI52" s="3"/>
      <c r="AJ52" s="3"/>
      <c r="AK52" s="3"/>
      <c r="AL52" s="1" t="str">
        <f>LEFT(U52,7)</f>
        <v>TQGP032</v>
      </c>
      <c r="AN52" t="str">
        <f>VLOOKUP(S52,Sheet1!$C:$D,2,0)</f>
        <v>LYHK7</v>
      </c>
    </row>
    <row r="53" spans="1:40" x14ac:dyDescent="0.25">
      <c r="A53" s="3">
        <v>52</v>
      </c>
      <c r="B53" s="3" t="s">
        <v>37</v>
      </c>
      <c r="C53" s="3" t="s">
        <v>38</v>
      </c>
      <c r="D53" s="3" t="s">
        <v>39</v>
      </c>
      <c r="E53" s="3" t="s">
        <v>136</v>
      </c>
      <c r="F53" s="3" t="s">
        <v>382</v>
      </c>
      <c r="G53" s="3" t="s">
        <v>383</v>
      </c>
      <c r="H53" s="3" t="s">
        <v>384</v>
      </c>
      <c r="I53" s="3">
        <v>20</v>
      </c>
      <c r="J53" s="3">
        <v>4.3499999999999996</v>
      </c>
      <c r="K53" s="3"/>
      <c r="L53" s="3" t="s">
        <v>73</v>
      </c>
      <c r="M53" s="3"/>
      <c r="N53" s="3" t="s">
        <v>45</v>
      </c>
      <c r="O53" s="3">
        <v>2</v>
      </c>
      <c r="P53" s="3">
        <v>0</v>
      </c>
      <c r="Q53" s="3" t="s">
        <v>46</v>
      </c>
      <c r="R53" s="3" t="s">
        <v>47</v>
      </c>
      <c r="S53" s="3" t="s">
        <v>239</v>
      </c>
      <c r="T53" s="3" t="s">
        <v>76</v>
      </c>
      <c r="U53" s="3" t="s">
        <v>385</v>
      </c>
      <c r="V53" s="3"/>
      <c r="W53" s="3" t="s">
        <v>386</v>
      </c>
      <c r="X53" s="3"/>
      <c r="Y53" s="3" t="s">
        <v>66</v>
      </c>
      <c r="Z53" s="3" t="s">
        <v>54</v>
      </c>
      <c r="AA53" s="3" t="s">
        <v>55</v>
      </c>
      <c r="AB53" s="3" t="s">
        <v>54</v>
      </c>
      <c r="AC53" s="3" t="s">
        <v>114</v>
      </c>
      <c r="AD53" s="3"/>
      <c r="AE53" s="3"/>
      <c r="AF53" s="3"/>
      <c r="AG53" s="3"/>
      <c r="AH53" s="3"/>
      <c r="AI53" s="3"/>
      <c r="AJ53" s="3"/>
      <c r="AK53" s="3"/>
      <c r="AL53" s="1" t="str">
        <f>LEFT(U53,7)</f>
        <v>TQGP027</v>
      </c>
      <c r="AN53" t="str">
        <f>VLOOKUP(S53,Sheet1!$C:$D,2,0)</f>
        <v>TAMVTT5</v>
      </c>
    </row>
    <row r="54" spans="1:40" x14ac:dyDescent="0.25">
      <c r="A54" s="3">
        <v>53</v>
      </c>
      <c r="B54" s="3" t="s">
        <v>37</v>
      </c>
      <c r="C54" s="3" t="s">
        <v>38</v>
      </c>
      <c r="D54" s="3" t="s">
        <v>39</v>
      </c>
      <c r="E54" s="3" t="s">
        <v>69</v>
      </c>
      <c r="F54" s="3" t="s">
        <v>387</v>
      </c>
      <c r="G54" s="3" t="s">
        <v>388</v>
      </c>
      <c r="H54" s="3" t="s">
        <v>389</v>
      </c>
      <c r="I54" s="3">
        <v>18</v>
      </c>
      <c r="J54" s="3">
        <v>6.4169999999999998</v>
      </c>
      <c r="K54" s="3"/>
      <c r="L54" s="3" t="s">
        <v>73</v>
      </c>
      <c r="M54" s="3"/>
      <c r="N54" s="3" t="s">
        <v>132</v>
      </c>
      <c r="O54" s="3">
        <v>2</v>
      </c>
      <c r="P54" s="3">
        <v>0</v>
      </c>
      <c r="Q54" s="3" t="s">
        <v>46</v>
      </c>
      <c r="R54" s="3" t="s">
        <v>147</v>
      </c>
      <c r="S54" s="3" t="s">
        <v>390</v>
      </c>
      <c r="T54" s="3" t="s">
        <v>76</v>
      </c>
      <c r="U54" s="3" t="s">
        <v>391</v>
      </c>
      <c r="V54" s="3"/>
      <c r="W54" s="3" t="s">
        <v>392</v>
      </c>
      <c r="X54" s="3"/>
      <c r="Y54" s="3" t="s">
        <v>66</v>
      </c>
      <c r="Z54" s="3" t="s">
        <v>54</v>
      </c>
      <c r="AA54" s="3" t="s">
        <v>55</v>
      </c>
      <c r="AB54" s="3" t="s">
        <v>54</v>
      </c>
      <c r="AC54" s="3" t="s">
        <v>114</v>
      </c>
      <c r="AD54" s="3"/>
      <c r="AE54" s="3"/>
      <c r="AF54" s="3"/>
      <c r="AG54" s="3"/>
      <c r="AH54" s="3"/>
      <c r="AI54" s="3"/>
      <c r="AJ54" s="3"/>
      <c r="AK54" s="3"/>
      <c r="AL54" s="1" t="str">
        <f>LEFT(U54,7)</f>
        <v>TQGP005</v>
      </c>
      <c r="AN54" t="str">
        <f>VLOOKUP(S54,Sheet1!$C:$D,2,0)</f>
        <v>HUONGTT33</v>
      </c>
    </row>
    <row r="55" spans="1:40" x14ac:dyDescent="0.25">
      <c r="A55" s="3">
        <v>54</v>
      </c>
      <c r="B55" s="3" t="s">
        <v>37</v>
      </c>
      <c r="C55" s="3" t="s">
        <v>38</v>
      </c>
      <c r="D55" s="3" t="s">
        <v>39</v>
      </c>
      <c r="E55" s="3" t="s">
        <v>176</v>
      </c>
      <c r="F55" s="3" t="s">
        <v>393</v>
      </c>
      <c r="G55" s="3" t="s">
        <v>394</v>
      </c>
      <c r="H55" s="3" t="s">
        <v>395</v>
      </c>
      <c r="I55" s="3">
        <v>16</v>
      </c>
      <c r="J55" s="3">
        <v>7.75</v>
      </c>
      <c r="K55" s="3"/>
      <c r="L55" s="3" t="s">
        <v>73</v>
      </c>
      <c r="M55" s="3"/>
      <c r="N55" s="3" t="s">
        <v>45</v>
      </c>
      <c r="O55" s="3">
        <v>2</v>
      </c>
      <c r="P55" s="3">
        <v>0</v>
      </c>
      <c r="Q55" s="3" t="s">
        <v>46</v>
      </c>
      <c r="R55" s="3" t="s">
        <v>86</v>
      </c>
      <c r="S55" s="3" t="s">
        <v>180</v>
      </c>
      <c r="T55" s="3" t="s">
        <v>49</v>
      </c>
      <c r="U55" s="3" t="s">
        <v>396</v>
      </c>
      <c r="V55" s="3"/>
      <c r="W55" s="3" t="s">
        <v>397</v>
      </c>
      <c r="X55" s="3" t="s">
        <v>565</v>
      </c>
      <c r="Y55" s="3" t="s">
        <v>53</v>
      </c>
      <c r="Z55" s="3" t="s">
        <v>54</v>
      </c>
      <c r="AA55" s="3" t="s">
        <v>55</v>
      </c>
      <c r="AB55" s="3" t="s">
        <v>67</v>
      </c>
      <c r="AC55" s="3" t="s">
        <v>68</v>
      </c>
      <c r="AD55" s="3"/>
      <c r="AE55" s="3"/>
      <c r="AF55" s="3"/>
      <c r="AG55" s="3"/>
      <c r="AH55" s="3"/>
      <c r="AI55" s="3"/>
      <c r="AJ55" s="3"/>
      <c r="AK55" s="3"/>
      <c r="AL55" s="1" t="str">
        <f>LEFT(U55,7)</f>
        <v>TQGP009</v>
      </c>
      <c r="AN55" t="str">
        <f>VLOOKUP(S55,Sheet1!$C:$D,2,0)</f>
        <v>TRANGDTH35</v>
      </c>
    </row>
    <row r="56" spans="1:40" x14ac:dyDescent="0.25">
      <c r="A56" s="3">
        <v>55</v>
      </c>
      <c r="B56" s="3" t="s">
        <v>37</v>
      </c>
      <c r="C56" s="3" t="s">
        <v>38</v>
      </c>
      <c r="D56" s="3" t="s">
        <v>39</v>
      </c>
      <c r="E56" s="3" t="s">
        <v>121</v>
      </c>
      <c r="F56" s="3" t="s">
        <v>398</v>
      </c>
      <c r="G56" s="3" t="s">
        <v>399</v>
      </c>
      <c r="H56" s="3" t="s">
        <v>400</v>
      </c>
      <c r="I56" s="3">
        <v>6</v>
      </c>
      <c r="J56" s="3">
        <v>18.382999999999999</v>
      </c>
      <c r="K56" s="3"/>
      <c r="L56" s="3" t="s">
        <v>125</v>
      </c>
      <c r="M56" s="3"/>
      <c r="N56" s="3" t="s">
        <v>96</v>
      </c>
      <c r="O56" s="3">
        <v>2</v>
      </c>
      <c r="P56" s="3">
        <v>0</v>
      </c>
      <c r="Q56" s="3" t="s">
        <v>46</v>
      </c>
      <c r="R56" s="3" t="s">
        <v>47</v>
      </c>
      <c r="S56" s="3" t="s">
        <v>126</v>
      </c>
      <c r="T56" s="3" t="s">
        <v>76</v>
      </c>
      <c r="U56" s="3" t="s">
        <v>401</v>
      </c>
      <c r="V56" s="3"/>
      <c r="W56" s="3" t="s">
        <v>402</v>
      </c>
      <c r="X56" s="3"/>
      <c r="Y56" s="3" t="s">
        <v>66</v>
      </c>
      <c r="Z56" s="3" t="s">
        <v>54</v>
      </c>
      <c r="AA56" s="3" t="s">
        <v>55</v>
      </c>
      <c r="AB56" s="3" t="s">
        <v>54</v>
      </c>
      <c r="AC56" s="3" t="s">
        <v>305</v>
      </c>
      <c r="AD56" s="3"/>
      <c r="AE56" s="3"/>
      <c r="AF56" s="3"/>
      <c r="AG56" s="3"/>
      <c r="AH56" s="3"/>
      <c r="AI56" s="3"/>
      <c r="AJ56" s="3"/>
      <c r="AK56" s="3"/>
      <c r="AL56" s="1" t="str">
        <f>LEFT(U56,7)</f>
        <v>TQGP028</v>
      </c>
      <c r="AN56" t="str">
        <f>VLOOKUP(S56,Sheet1!$C:$D,2,0)</f>
        <v>UYENHT15</v>
      </c>
    </row>
    <row r="57" spans="1:40" x14ac:dyDescent="0.25">
      <c r="A57" s="3">
        <v>56</v>
      </c>
      <c r="B57" s="3" t="s">
        <v>37</v>
      </c>
      <c r="C57" s="3" t="s">
        <v>38</v>
      </c>
      <c r="D57" s="3" t="s">
        <v>39</v>
      </c>
      <c r="E57" s="3" t="s">
        <v>121</v>
      </c>
      <c r="F57" s="3" t="s">
        <v>403</v>
      </c>
      <c r="G57" s="3" t="s">
        <v>404</v>
      </c>
      <c r="H57" s="3" t="s">
        <v>405</v>
      </c>
      <c r="I57" s="3">
        <v>5</v>
      </c>
      <c r="J57" s="3">
        <v>18.649999999999999</v>
      </c>
      <c r="K57" s="3"/>
      <c r="L57" s="3" t="s">
        <v>125</v>
      </c>
      <c r="M57" s="3"/>
      <c r="N57" s="3" t="s">
        <v>96</v>
      </c>
      <c r="O57" s="3">
        <v>2</v>
      </c>
      <c r="P57" s="3">
        <v>0</v>
      </c>
      <c r="Q57" s="3" t="s">
        <v>46</v>
      </c>
      <c r="R57" s="3" t="s">
        <v>47</v>
      </c>
      <c r="S57" s="3" t="s">
        <v>126</v>
      </c>
      <c r="T57" s="3" t="s">
        <v>76</v>
      </c>
      <c r="U57" s="3" t="s">
        <v>406</v>
      </c>
      <c r="V57" s="3"/>
      <c r="W57" s="3" t="s">
        <v>407</v>
      </c>
      <c r="X57" s="3"/>
      <c r="Y57" s="3" t="s">
        <v>53</v>
      </c>
      <c r="Z57" s="3" t="s">
        <v>54</v>
      </c>
      <c r="AA57" s="3" t="s">
        <v>55</v>
      </c>
      <c r="AB57" s="3" t="s">
        <v>54</v>
      </c>
      <c r="AC57" s="3" t="s">
        <v>114</v>
      </c>
      <c r="AD57" s="3"/>
      <c r="AE57" s="3"/>
      <c r="AF57" s="3"/>
      <c r="AG57" s="3"/>
      <c r="AH57" s="3"/>
      <c r="AI57" s="3"/>
      <c r="AJ57" s="3"/>
      <c r="AK57" s="3"/>
      <c r="AL57" s="1" t="str">
        <f>LEFT(U57,7)</f>
        <v>TQGP028</v>
      </c>
      <c r="AN57" t="str">
        <f>VLOOKUP(S57,Sheet1!$C:$D,2,0)</f>
        <v>UYENHT15</v>
      </c>
    </row>
    <row r="58" spans="1:40" x14ac:dyDescent="0.25">
      <c r="A58" s="3">
        <v>57</v>
      </c>
      <c r="B58" s="3" t="s">
        <v>37</v>
      </c>
      <c r="C58" s="3" t="s">
        <v>38</v>
      </c>
      <c r="D58" s="3" t="s">
        <v>39</v>
      </c>
      <c r="E58" s="3" t="s">
        <v>40</v>
      </c>
      <c r="F58" s="3" t="s">
        <v>408</v>
      </c>
      <c r="G58" s="3" t="s">
        <v>409</v>
      </c>
      <c r="H58" s="3" t="s">
        <v>410</v>
      </c>
      <c r="I58" s="3">
        <v>5</v>
      </c>
      <c r="J58" s="3">
        <v>19.082999999999998</v>
      </c>
      <c r="K58" s="3"/>
      <c r="L58" s="3" t="s">
        <v>73</v>
      </c>
      <c r="M58" s="3"/>
      <c r="N58" s="3" t="s">
        <v>45</v>
      </c>
      <c r="O58" s="3">
        <v>2</v>
      </c>
      <c r="P58" s="3">
        <v>0</v>
      </c>
      <c r="Q58" s="3" t="s">
        <v>46</v>
      </c>
      <c r="R58" s="3" t="s">
        <v>411</v>
      </c>
      <c r="S58" s="3" t="s">
        <v>48</v>
      </c>
      <c r="T58" s="3" t="s">
        <v>76</v>
      </c>
      <c r="U58" s="3" t="s">
        <v>412</v>
      </c>
      <c r="V58" s="3"/>
      <c r="W58" s="3" t="s">
        <v>413</v>
      </c>
      <c r="X58" s="3"/>
      <c r="Y58" s="3" t="s">
        <v>66</v>
      </c>
      <c r="Z58" s="3" t="s">
        <v>54</v>
      </c>
      <c r="AA58" s="3" t="s">
        <v>55</v>
      </c>
      <c r="AB58" s="3" t="s">
        <v>54</v>
      </c>
      <c r="AC58" s="3" t="s">
        <v>114</v>
      </c>
      <c r="AD58" s="3"/>
      <c r="AE58" s="3"/>
      <c r="AF58" s="3"/>
      <c r="AG58" s="3"/>
      <c r="AH58" s="3"/>
      <c r="AI58" s="3"/>
      <c r="AJ58" s="3"/>
      <c r="AK58" s="3"/>
      <c r="AL58" s="1" t="str">
        <f>LEFT(U58,7)</f>
        <v>TQGP008</v>
      </c>
      <c r="AN58" t="str">
        <f>VLOOKUP(S58,Sheet1!$C:$D,2,0)</f>
        <v>TRANGHT28</v>
      </c>
    </row>
    <row r="59" spans="1:40" x14ac:dyDescent="0.25">
      <c r="A59" s="3">
        <v>58</v>
      </c>
      <c r="B59" s="3" t="s">
        <v>37</v>
      </c>
      <c r="C59" s="3" t="s">
        <v>38</v>
      </c>
      <c r="D59" s="3" t="s">
        <v>39</v>
      </c>
      <c r="E59" s="3" t="s">
        <v>81</v>
      </c>
      <c r="F59" s="3" t="s">
        <v>414</v>
      </c>
      <c r="G59" s="3" t="s">
        <v>415</v>
      </c>
      <c r="H59" s="3" t="s">
        <v>416</v>
      </c>
      <c r="I59" s="3">
        <v>4</v>
      </c>
      <c r="J59" s="3">
        <v>20.516999999999999</v>
      </c>
      <c r="K59" s="3"/>
      <c r="L59" s="3" t="s">
        <v>73</v>
      </c>
      <c r="M59" s="3"/>
      <c r="N59" s="3" t="s">
        <v>132</v>
      </c>
      <c r="O59" s="3">
        <v>1</v>
      </c>
      <c r="P59" s="3">
        <v>0</v>
      </c>
      <c r="Q59" s="3" t="s">
        <v>46</v>
      </c>
      <c r="R59" s="3" t="s">
        <v>417</v>
      </c>
      <c r="S59" s="3" t="s">
        <v>243</v>
      </c>
      <c r="T59" s="3" t="s">
        <v>76</v>
      </c>
      <c r="U59" s="3" t="s">
        <v>418</v>
      </c>
      <c r="V59" s="3"/>
      <c r="W59" s="3" t="s">
        <v>419</v>
      </c>
      <c r="X59" s="3"/>
      <c r="Y59" s="3" t="s">
        <v>53</v>
      </c>
      <c r="Z59" s="3" t="s">
        <v>54</v>
      </c>
      <c r="AA59" s="3" t="s">
        <v>55</v>
      </c>
      <c r="AB59" s="3" t="s">
        <v>54</v>
      </c>
      <c r="AC59" s="3" t="s">
        <v>317</v>
      </c>
      <c r="AD59" s="3"/>
      <c r="AE59" s="3"/>
      <c r="AF59" s="3"/>
      <c r="AG59" s="3"/>
      <c r="AH59" s="3"/>
      <c r="AI59" s="3"/>
      <c r="AJ59" s="3"/>
      <c r="AK59" s="3"/>
      <c r="AL59" s="1" t="str">
        <f>LEFT(U59,7)</f>
        <v>TQGP020</v>
      </c>
      <c r="AN59" t="str">
        <f>VLOOKUP(S59,Sheet1!$C:$D,2,0)</f>
        <v>ANHHV15</v>
      </c>
    </row>
    <row r="60" spans="1:40" x14ac:dyDescent="0.25">
      <c r="A60" s="3">
        <v>59</v>
      </c>
      <c r="B60" s="3" t="s">
        <v>37</v>
      </c>
      <c r="C60" s="3" t="s">
        <v>38</v>
      </c>
      <c r="D60" s="3" t="s">
        <v>39</v>
      </c>
      <c r="E60" s="3" t="s">
        <v>136</v>
      </c>
      <c r="F60" s="3" t="s">
        <v>420</v>
      </c>
      <c r="G60" s="3" t="s">
        <v>421</v>
      </c>
      <c r="H60" s="3" t="s">
        <v>422</v>
      </c>
      <c r="I60" s="3">
        <v>-21</v>
      </c>
      <c r="J60" s="3">
        <v>20.632999999999999</v>
      </c>
      <c r="K60" s="3" t="s">
        <v>125</v>
      </c>
      <c r="L60" s="3" t="s">
        <v>73</v>
      </c>
      <c r="M60" s="3" t="s">
        <v>96</v>
      </c>
      <c r="N60" s="3" t="s">
        <v>132</v>
      </c>
      <c r="O60" s="3">
        <v>1</v>
      </c>
      <c r="P60" s="3">
        <v>1</v>
      </c>
      <c r="Q60" s="3" t="s">
        <v>46</v>
      </c>
      <c r="R60" s="3" t="s">
        <v>147</v>
      </c>
      <c r="S60" s="3" t="s">
        <v>423</v>
      </c>
      <c r="T60" s="3" t="s">
        <v>160</v>
      </c>
      <c r="U60" s="3" t="s">
        <v>424</v>
      </c>
      <c r="V60" s="3"/>
      <c r="W60" s="3" t="s">
        <v>425</v>
      </c>
      <c r="X60" s="3"/>
      <c r="Y60" s="3" t="s">
        <v>66</v>
      </c>
      <c r="Z60" s="3" t="s">
        <v>54</v>
      </c>
      <c r="AA60" s="3" t="s">
        <v>55</v>
      </c>
      <c r="AB60" s="3" t="s">
        <v>54</v>
      </c>
      <c r="AC60" s="3" t="s">
        <v>91</v>
      </c>
      <c r="AD60" s="3"/>
      <c r="AE60" s="3"/>
      <c r="AF60" s="3"/>
      <c r="AG60" s="3"/>
      <c r="AH60" s="3"/>
      <c r="AI60" s="3"/>
      <c r="AJ60" s="3"/>
      <c r="AK60" s="3"/>
      <c r="AL60" s="1" t="str">
        <f>LEFT(U60,7)</f>
        <v>TQGP027</v>
      </c>
      <c r="AN60" t="str">
        <f>VLOOKUP(S60,Sheet1!$C:$D,2,0)</f>
        <v>TAMVTT5</v>
      </c>
    </row>
    <row r="61" spans="1:40" x14ac:dyDescent="0.25">
      <c r="A61" s="3">
        <v>60</v>
      </c>
      <c r="B61" s="3" t="s">
        <v>37</v>
      </c>
      <c r="C61" s="3" t="s">
        <v>38</v>
      </c>
      <c r="D61" s="3" t="s">
        <v>39</v>
      </c>
      <c r="E61" s="3" t="s">
        <v>57</v>
      </c>
      <c r="F61" s="3" t="s">
        <v>432</v>
      </c>
      <c r="G61" s="3" t="s">
        <v>433</v>
      </c>
      <c r="H61" s="3" t="s">
        <v>434</v>
      </c>
      <c r="I61" s="3">
        <v>-21</v>
      </c>
      <c r="J61" s="3">
        <v>20.632999999999999</v>
      </c>
      <c r="K61" s="3" t="s">
        <v>125</v>
      </c>
      <c r="L61" s="3" t="s">
        <v>73</v>
      </c>
      <c r="M61" s="3" t="s">
        <v>96</v>
      </c>
      <c r="N61" s="3" t="s">
        <v>132</v>
      </c>
      <c r="O61" s="3">
        <v>2</v>
      </c>
      <c r="P61" s="3">
        <v>0</v>
      </c>
      <c r="Q61" s="3" t="s">
        <v>46</v>
      </c>
      <c r="R61" s="3" t="s">
        <v>147</v>
      </c>
      <c r="S61" s="3" t="s">
        <v>133</v>
      </c>
      <c r="T61" s="3" t="s">
        <v>76</v>
      </c>
      <c r="U61" s="3" t="s">
        <v>435</v>
      </c>
      <c r="V61" s="3"/>
      <c r="W61" s="3" t="s">
        <v>436</v>
      </c>
      <c r="X61" s="3"/>
      <c r="Y61" s="3" t="s">
        <v>53</v>
      </c>
      <c r="Z61" s="3" t="s">
        <v>54</v>
      </c>
      <c r="AA61" s="3"/>
      <c r="AB61" s="3" t="s">
        <v>54</v>
      </c>
      <c r="AC61" s="3" t="s">
        <v>114</v>
      </c>
      <c r="AD61" s="3"/>
      <c r="AE61" s="3"/>
      <c r="AF61" s="3"/>
      <c r="AG61" s="3"/>
      <c r="AH61" s="3"/>
      <c r="AI61" s="3"/>
      <c r="AJ61" s="3"/>
      <c r="AK61" s="3"/>
      <c r="AL61" s="1" t="str">
        <f>LEFT(U61,7)</f>
        <v>TQGP032</v>
      </c>
      <c r="AN61" t="str">
        <f>VLOOKUP(S61,Sheet1!$C:$D,2,0)</f>
        <v>LYHK7</v>
      </c>
    </row>
    <row r="62" spans="1:40" x14ac:dyDescent="0.25">
      <c r="A62" s="3">
        <v>61</v>
      </c>
      <c r="B62" s="3" t="s">
        <v>37</v>
      </c>
      <c r="C62" s="3" t="s">
        <v>38</v>
      </c>
      <c r="D62" s="3" t="s">
        <v>39</v>
      </c>
      <c r="E62" s="3" t="s">
        <v>136</v>
      </c>
      <c r="F62" s="3" t="s">
        <v>442</v>
      </c>
      <c r="G62" s="3" t="s">
        <v>443</v>
      </c>
      <c r="H62" s="3" t="s">
        <v>444</v>
      </c>
      <c r="I62" s="3">
        <v>-21</v>
      </c>
      <c r="J62" s="3">
        <v>20.632999999999999</v>
      </c>
      <c r="K62" s="3" t="s">
        <v>125</v>
      </c>
      <c r="L62" s="3"/>
      <c r="M62" s="3" t="s">
        <v>96</v>
      </c>
      <c r="N62" s="3"/>
      <c r="O62" s="3">
        <v>1</v>
      </c>
      <c r="P62" s="3">
        <v>0</v>
      </c>
      <c r="Q62" s="3" t="s">
        <v>46</v>
      </c>
      <c r="R62" s="3" t="s">
        <v>47</v>
      </c>
      <c r="S62" s="3" t="s">
        <v>140</v>
      </c>
      <c r="T62" s="3" t="s">
        <v>76</v>
      </c>
      <c r="U62" s="3" t="s">
        <v>445</v>
      </c>
      <c r="V62" s="3"/>
      <c r="W62" s="3" t="s">
        <v>446</v>
      </c>
      <c r="X62" s="3"/>
      <c r="Y62" s="3" t="s">
        <v>53</v>
      </c>
      <c r="Z62" s="3" t="s">
        <v>54</v>
      </c>
      <c r="AA62" s="3" t="s">
        <v>55</v>
      </c>
      <c r="AB62" s="3" t="s">
        <v>217</v>
      </c>
      <c r="AC62" s="3" t="s">
        <v>426</v>
      </c>
      <c r="AD62" s="3"/>
      <c r="AE62" s="3"/>
      <c r="AF62" s="3"/>
      <c r="AG62" s="3"/>
      <c r="AH62" s="3"/>
      <c r="AI62" s="3"/>
      <c r="AJ62" s="3"/>
      <c r="AK62" s="3"/>
      <c r="AL62" s="1" t="str">
        <f>LEFT(U62,7)</f>
        <v>TQGP032</v>
      </c>
      <c r="AN62" t="str">
        <f>VLOOKUP(S62,Sheet1!$C:$D,2,0)</f>
        <v>TAMVTT5</v>
      </c>
    </row>
    <row r="63" spans="1:40" x14ac:dyDescent="0.25">
      <c r="A63" s="3">
        <v>62</v>
      </c>
      <c r="B63" s="3" t="s">
        <v>37</v>
      </c>
      <c r="C63" s="3" t="s">
        <v>38</v>
      </c>
      <c r="D63" s="3" t="s">
        <v>39</v>
      </c>
      <c r="E63" s="3" t="s">
        <v>176</v>
      </c>
      <c r="F63" s="3" t="s">
        <v>452</v>
      </c>
      <c r="G63" s="3" t="s">
        <v>453</v>
      </c>
      <c r="H63" s="3" t="s">
        <v>454</v>
      </c>
      <c r="I63" s="3">
        <v>-21</v>
      </c>
      <c r="J63" s="3">
        <v>20.632999999999999</v>
      </c>
      <c r="K63" s="3" t="s">
        <v>125</v>
      </c>
      <c r="L63" s="3"/>
      <c r="M63" s="3" t="s">
        <v>96</v>
      </c>
      <c r="N63" s="3"/>
      <c r="O63" s="3">
        <v>1</v>
      </c>
      <c r="P63" s="3">
        <v>0</v>
      </c>
      <c r="Q63" s="3" t="s">
        <v>46</v>
      </c>
      <c r="R63" s="3" t="s">
        <v>147</v>
      </c>
      <c r="S63" s="3" t="s">
        <v>180</v>
      </c>
      <c r="T63" s="3" t="s">
        <v>160</v>
      </c>
      <c r="U63" s="3" t="s">
        <v>455</v>
      </c>
      <c r="V63" s="3"/>
      <c r="W63" s="3" t="s">
        <v>456</v>
      </c>
      <c r="X63" s="3"/>
      <c r="Y63" s="3" t="s">
        <v>53</v>
      </c>
      <c r="Z63" s="3" t="s">
        <v>54</v>
      </c>
      <c r="AA63" s="3" t="s">
        <v>55</v>
      </c>
      <c r="AB63" s="3" t="s">
        <v>54</v>
      </c>
      <c r="AC63" s="3" t="s">
        <v>305</v>
      </c>
      <c r="AD63" s="3"/>
      <c r="AE63" s="3"/>
      <c r="AF63" s="3"/>
      <c r="AG63" s="3"/>
      <c r="AH63" s="3"/>
      <c r="AI63" s="3"/>
      <c r="AJ63" s="3"/>
      <c r="AK63" s="3"/>
      <c r="AL63" s="1" t="str">
        <f>LEFT(U63,7)</f>
        <v>TQGP009</v>
      </c>
      <c r="AN63" t="str">
        <f>VLOOKUP(S63,Sheet1!$C:$D,2,0)</f>
        <v>TRANGDTH35</v>
      </c>
    </row>
    <row r="64" spans="1:40" x14ac:dyDescent="0.25">
      <c r="A64" s="3">
        <v>63</v>
      </c>
      <c r="B64" s="3" t="s">
        <v>37</v>
      </c>
      <c r="C64" s="3" t="s">
        <v>38</v>
      </c>
      <c r="D64" s="3" t="s">
        <v>39</v>
      </c>
      <c r="E64" s="3" t="s">
        <v>136</v>
      </c>
      <c r="F64" s="3" t="s">
        <v>566</v>
      </c>
      <c r="G64" s="3" t="s">
        <v>567</v>
      </c>
      <c r="H64" s="3" t="s">
        <v>568</v>
      </c>
      <c r="I64" s="3">
        <v>-21</v>
      </c>
      <c r="J64" s="3">
        <v>20.632999999999999</v>
      </c>
      <c r="K64" s="3" t="s">
        <v>125</v>
      </c>
      <c r="L64" s="3"/>
      <c r="M64" s="3" t="s">
        <v>96</v>
      </c>
      <c r="N64" s="3"/>
      <c r="O64" s="3">
        <v>1</v>
      </c>
      <c r="P64" s="3">
        <v>0</v>
      </c>
      <c r="Q64" s="3" t="s">
        <v>46</v>
      </c>
      <c r="R64" s="3" t="s">
        <v>47</v>
      </c>
      <c r="S64" s="3" t="s">
        <v>239</v>
      </c>
      <c r="T64" s="3" t="s">
        <v>160</v>
      </c>
      <c r="U64" s="3" t="s">
        <v>569</v>
      </c>
      <c r="V64" s="3"/>
      <c r="W64" s="3" t="s">
        <v>570</v>
      </c>
      <c r="X64" s="3"/>
      <c r="Y64" s="3" t="s">
        <v>53</v>
      </c>
      <c r="Z64" s="3" t="s">
        <v>54</v>
      </c>
      <c r="AA64" s="3" t="s">
        <v>79</v>
      </c>
      <c r="AB64" s="3" t="s">
        <v>54</v>
      </c>
      <c r="AC64" s="3" t="s">
        <v>80</v>
      </c>
      <c r="AD64" s="3"/>
      <c r="AE64" s="3"/>
      <c r="AF64" s="3"/>
      <c r="AG64" s="3"/>
      <c r="AH64" s="3"/>
      <c r="AI64" s="3"/>
      <c r="AJ64" s="3"/>
      <c r="AK64" s="3"/>
      <c r="AL64" s="1" t="str">
        <f>LEFT(U64,7)</f>
        <v>TQGP031</v>
      </c>
      <c r="AN64" t="str">
        <f>VLOOKUP(S64,Sheet1!$C:$D,2,0)</f>
        <v>TAMVTT5</v>
      </c>
    </row>
    <row r="65" spans="1:40" x14ac:dyDescent="0.25">
      <c r="A65" s="3">
        <v>64</v>
      </c>
      <c r="B65" s="3" t="s">
        <v>37</v>
      </c>
      <c r="C65" s="3" t="s">
        <v>38</v>
      </c>
      <c r="D65" s="3" t="s">
        <v>39</v>
      </c>
      <c r="E65" s="3" t="s">
        <v>69</v>
      </c>
      <c r="F65" s="3" t="s">
        <v>437</v>
      </c>
      <c r="G65" s="3" t="s">
        <v>438</v>
      </c>
      <c r="H65" s="3" t="s">
        <v>439</v>
      </c>
      <c r="I65" s="3">
        <v>-21</v>
      </c>
      <c r="J65" s="3">
        <v>20.632999999999999</v>
      </c>
      <c r="K65" s="3" t="s">
        <v>125</v>
      </c>
      <c r="L65" s="3" t="s">
        <v>73</v>
      </c>
      <c r="M65" s="3" t="s">
        <v>96</v>
      </c>
      <c r="N65" s="3" t="s">
        <v>74</v>
      </c>
      <c r="O65" s="3">
        <v>2</v>
      </c>
      <c r="P65" s="3">
        <v>0</v>
      </c>
      <c r="Q65" s="3" t="s">
        <v>46</v>
      </c>
      <c r="R65" s="3" t="s">
        <v>147</v>
      </c>
      <c r="S65" s="3" t="s">
        <v>75</v>
      </c>
      <c r="T65" s="3" t="s">
        <v>160</v>
      </c>
      <c r="U65" s="3" t="s">
        <v>440</v>
      </c>
      <c r="V65" s="3"/>
      <c r="W65" s="3" t="s">
        <v>441</v>
      </c>
      <c r="X65" s="3"/>
      <c r="Y65" s="3" t="s">
        <v>53</v>
      </c>
      <c r="Z65" s="3" t="s">
        <v>54</v>
      </c>
      <c r="AA65" s="3" t="s">
        <v>55</v>
      </c>
      <c r="AB65" s="3" t="s">
        <v>54</v>
      </c>
      <c r="AC65" s="3" t="s">
        <v>56</v>
      </c>
      <c r="AD65" s="3" t="s">
        <v>54</v>
      </c>
      <c r="AE65" s="3" t="s">
        <v>204</v>
      </c>
      <c r="AF65" s="3"/>
      <c r="AG65" s="3"/>
      <c r="AH65" s="3"/>
      <c r="AI65" s="3"/>
      <c r="AJ65" s="3"/>
      <c r="AK65" s="3"/>
      <c r="AL65" s="1" t="str">
        <f>LEFT(U65,7)</f>
        <v>TQGP019</v>
      </c>
      <c r="AN65" t="str">
        <f>VLOOKUP(S65,Sheet1!$C:$D,2,0)</f>
        <v>ANHHV15</v>
      </c>
    </row>
    <row r="66" spans="1:40" x14ac:dyDescent="0.25">
      <c r="A66" s="3">
        <v>65</v>
      </c>
      <c r="B66" s="3" t="s">
        <v>37</v>
      </c>
      <c r="C66" s="3" t="s">
        <v>38</v>
      </c>
      <c r="D66" s="3" t="s">
        <v>39</v>
      </c>
      <c r="E66" s="3" t="s">
        <v>176</v>
      </c>
      <c r="F66" s="3" t="s">
        <v>447</v>
      </c>
      <c r="G66" s="3" t="s">
        <v>448</v>
      </c>
      <c r="H66" s="3" t="s">
        <v>449</v>
      </c>
      <c r="I66" s="3">
        <v>-21</v>
      </c>
      <c r="J66" s="3">
        <v>20.632999999999999</v>
      </c>
      <c r="K66" s="3" t="s">
        <v>125</v>
      </c>
      <c r="L66" s="3"/>
      <c r="M66" s="3" t="s">
        <v>96</v>
      </c>
      <c r="N66" s="3"/>
      <c r="O66" s="3">
        <v>1</v>
      </c>
      <c r="P66" s="3">
        <v>0</v>
      </c>
      <c r="Q66" s="3" t="s">
        <v>46</v>
      </c>
      <c r="R66" s="3" t="s">
        <v>411</v>
      </c>
      <c r="S66" s="3" t="s">
        <v>238</v>
      </c>
      <c r="T66" s="3" t="s">
        <v>76</v>
      </c>
      <c r="U66" s="3" t="s">
        <v>450</v>
      </c>
      <c r="V66" s="3"/>
      <c r="W66" s="3" t="s">
        <v>451</v>
      </c>
      <c r="X66" s="3"/>
      <c r="Y66" s="3"/>
      <c r="Z66" s="3" t="s">
        <v>54</v>
      </c>
      <c r="AA66" s="3" t="s">
        <v>55</v>
      </c>
      <c r="AB66" s="3" t="s">
        <v>54</v>
      </c>
      <c r="AC66" s="3" t="s">
        <v>114</v>
      </c>
      <c r="AD66" s="3"/>
      <c r="AE66" s="3"/>
      <c r="AF66" s="3"/>
      <c r="AG66" s="3"/>
      <c r="AH66" s="3"/>
      <c r="AI66" s="3"/>
      <c r="AJ66" s="3"/>
      <c r="AK66" s="3"/>
      <c r="AL66" s="1" t="str">
        <f>LEFT(U66,7)</f>
        <v>TQGP006</v>
      </c>
      <c r="AN66" t="str">
        <f>VLOOKUP(S66,Sheet1!$C:$D,2,0)</f>
        <v>TRANGHT28</v>
      </c>
    </row>
    <row r="67" spans="1:40" x14ac:dyDescent="0.25">
      <c r="A67" s="3">
        <v>66</v>
      </c>
      <c r="B67" s="3" t="s">
        <v>37</v>
      </c>
      <c r="C67" s="3" t="s">
        <v>38</v>
      </c>
      <c r="D67" s="3" t="s">
        <v>39</v>
      </c>
      <c r="E67" s="3" t="s">
        <v>69</v>
      </c>
      <c r="F67" s="3" t="s">
        <v>457</v>
      </c>
      <c r="G67" s="3" t="s">
        <v>458</v>
      </c>
      <c r="H67" s="3" t="s">
        <v>459</v>
      </c>
      <c r="I67" s="3">
        <v>-21</v>
      </c>
      <c r="J67" s="3">
        <v>20.632999999999999</v>
      </c>
      <c r="K67" s="3" t="s">
        <v>125</v>
      </c>
      <c r="L67" s="3"/>
      <c r="M67" s="3" t="s">
        <v>96</v>
      </c>
      <c r="N67" s="3"/>
      <c r="O67" s="3">
        <v>1</v>
      </c>
      <c r="P67" s="3">
        <v>0</v>
      </c>
      <c r="Q67" s="3" t="s">
        <v>46</v>
      </c>
      <c r="R67" s="3" t="s">
        <v>47</v>
      </c>
      <c r="S67" s="3" t="s">
        <v>102</v>
      </c>
      <c r="T67" s="3" t="s">
        <v>160</v>
      </c>
      <c r="U67" s="3" t="s">
        <v>460</v>
      </c>
      <c r="V67" s="3"/>
      <c r="W67" s="3" t="s">
        <v>461</v>
      </c>
      <c r="X67" s="3"/>
      <c r="Y67" s="3" t="s">
        <v>53</v>
      </c>
      <c r="Z67" s="3" t="s">
        <v>54</v>
      </c>
      <c r="AA67" s="3" t="s">
        <v>79</v>
      </c>
      <c r="AB67" s="3" t="s">
        <v>54</v>
      </c>
      <c r="AC67" s="3" t="s">
        <v>80</v>
      </c>
      <c r="AD67" s="3"/>
      <c r="AE67" s="3"/>
      <c r="AF67" s="3"/>
      <c r="AG67" s="3"/>
      <c r="AH67" s="3"/>
      <c r="AI67" s="3"/>
      <c r="AJ67" s="3"/>
      <c r="AK67" s="3"/>
      <c r="AL67" s="1" t="str">
        <f>LEFT(U67,7)</f>
        <v>TQGP013</v>
      </c>
      <c r="AN67" t="str">
        <f>VLOOKUP(S67,Sheet1!$C:$D,2,0)</f>
        <v>HUONGTT33</v>
      </c>
    </row>
    <row r="68" spans="1:40" x14ac:dyDescent="0.25">
      <c r="A68" s="3">
        <v>67</v>
      </c>
      <c r="B68" s="3" t="s">
        <v>37</v>
      </c>
      <c r="C68" s="3" t="s">
        <v>38</v>
      </c>
      <c r="D68" s="3" t="s">
        <v>39</v>
      </c>
      <c r="E68" s="3" t="s">
        <v>136</v>
      </c>
      <c r="F68" s="3" t="s">
        <v>462</v>
      </c>
      <c r="G68" s="3" t="s">
        <v>463</v>
      </c>
      <c r="H68" s="3" t="s">
        <v>464</v>
      </c>
      <c r="I68" s="3">
        <v>-21</v>
      </c>
      <c r="J68" s="3">
        <v>20.632999999999999</v>
      </c>
      <c r="K68" s="3" t="s">
        <v>125</v>
      </c>
      <c r="L68" s="3" t="s">
        <v>95</v>
      </c>
      <c r="M68" s="3" t="s">
        <v>96</v>
      </c>
      <c r="N68" s="3" t="s">
        <v>323</v>
      </c>
      <c r="O68" s="3">
        <v>2</v>
      </c>
      <c r="P68" s="3">
        <v>0</v>
      </c>
      <c r="Q68" s="3" t="s">
        <v>46</v>
      </c>
      <c r="R68" s="3" t="s">
        <v>47</v>
      </c>
      <c r="S68" s="3" t="s">
        <v>239</v>
      </c>
      <c r="T68" s="3" t="s">
        <v>76</v>
      </c>
      <c r="U68" s="3" t="s">
        <v>465</v>
      </c>
      <c r="V68" s="3"/>
      <c r="W68" s="3" t="s">
        <v>466</v>
      </c>
      <c r="X68" s="3"/>
      <c r="Y68" s="3" t="s">
        <v>53</v>
      </c>
      <c r="Z68" s="3" t="s">
        <v>54</v>
      </c>
      <c r="AA68" s="3" t="s">
        <v>79</v>
      </c>
      <c r="AB68" s="3" t="s">
        <v>54</v>
      </c>
      <c r="AC68" s="3" t="s">
        <v>80</v>
      </c>
      <c r="AD68" s="3"/>
      <c r="AE68" s="3"/>
      <c r="AF68" s="3"/>
      <c r="AG68" s="3"/>
      <c r="AH68" s="3"/>
      <c r="AI68" s="3"/>
      <c r="AJ68" s="3"/>
      <c r="AK68" s="3"/>
      <c r="AL68" s="1" t="str">
        <f>LEFT(U68,7)</f>
        <v>TQGP027</v>
      </c>
      <c r="AN68" t="str">
        <f>VLOOKUP(S68,Sheet1!$C:$D,2,0)</f>
        <v>TAMVTT5</v>
      </c>
    </row>
    <row r="69" spans="1:40" x14ac:dyDescent="0.25">
      <c r="A69" s="3">
        <v>68</v>
      </c>
      <c r="B69" s="3" t="s">
        <v>37</v>
      </c>
      <c r="C69" s="3" t="s">
        <v>38</v>
      </c>
      <c r="D69" s="3" t="s">
        <v>39</v>
      </c>
      <c r="E69" s="3" t="s">
        <v>259</v>
      </c>
      <c r="F69" s="3" t="s">
        <v>427</v>
      </c>
      <c r="G69" s="3" t="s">
        <v>428</v>
      </c>
      <c r="H69" s="3" t="s">
        <v>429</v>
      </c>
      <c r="I69" s="3">
        <v>-21</v>
      </c>
      <c r="J69" s="3">
        <v>20.632999999999999</v>
      </c>
      <c r="K69" s="3" t="s">
        <v>125</v>
      </c>
      <c r="L69" s="3"/>
      <c r="M69" s="3" t="s">
        <v>96</v>
      </c>
      <c r="N69" s="3"/>
      <c r="O69" s="3">
        <v>1</v>
      </c>
      <c r="P69" s="3">
        <v>1</v>
      </c>
      <c r="Q69" s="3" t="s">
        <v>46</v>
      </c>
      <c r="R69" s="3" t="s">
        <v>47</v>
      </c>
      <c r="S69" s="3" t="s">
        <v>374</v>
      </c>
      <c r="T69" s="3" t="s">
        <v>76</v>
      </c>
      <c r="U69" s="3" t="s">
        <v>430</v>
      </c>
      <c r="V69" s="3"/>
      <c r="W69" s="3" t="s">
        <v>431</v>
      </c>
      <c r="X69" s="3"/>
      <c r="Y69" s="3" t="s">
        <v>53</v>
      </c>
      <c r="Z69" s="3" t="s">
        <v>54</v>
      </c>
      <c r="AA69" s="3" t="s">
        <v>79</v>
      </c>
      <c r="AB69" s="3" t="s">
        <v>54</v>
      </c>
      <c r="AC69" s="3" t="s">
        <v>80</v>
      </c>
      <c r="AD69" s="3"/>
      <c r="AE69" s="3"/>
      <c r="AF69" s="3"/>
      <c r="AG69" s="3"/>
      <c r="AH69" s="3"/>
      <c r="AI69" s="3"/>
      <c r="AJ69" s="3"/>
      <c r="AK69" s="3"/>
      <c r="AL69" s="1" t="str">
        <f>LEFT(U69,7)</f>
        <v>TQGP002</v>
      </c>
      <c r="AN69" t="str">
        <f>VLOOKUP(S69,Sheet1!$C:$D,2,0)</f>
        <v>HUONGTT33</v>
      </c>
    </row>
    <row r="70" spans="1:40" x14ac:dyDescent="0.25">
      <c r="A70" s="3">
        <v>69</v>
      </c>
      <c r="B70" s="3" t="s">
        <v>37</v>
      </c>
      <c r="C70" s="3" t="s">
        <v>38</v>
      </c>
      <c r="D70" s="3" t="s">
        <v>39</v>
      </c>
      <c r="E70" s="3" t="s">
        <v>259</v>
      </c>
      <c r="F70" s="3" t="s">
        <v>472</v>
      </c>
      <c r="G70" s="3" t="s">
        <v>473</v>
      </c>
      <c r="H70" s="3" t="s">
        <v>474</v>
      </c>
      <c r="I70" s="3">
        <v>3</v>
      </c>
      <c r="J70" s="3">
        <v>20.65</v>
      </c>
      <c r="K70" s="3"/>
      <c r="L70" s="3" t="s">
        <v>73</v>
      </c>
      <c r="M70" s="3"/>
      <c r="N70" s="3" t="s">
        <v>132</v>
      </c>
      <c r="O70" s="3">
        <v>2</v>
      </c>
      <c r="P70" s="3">
        <v>0</v>
      </c>
      <c r="Q70" s="3" t="s">
        <v>46</v>
      </c>
      <c r="R70" s="3" t="s">
        <v>47</v>
      </c>
      <c r="S70" s="3" t="s">
        <v>475</v>
      </c>
      <c r="T70" s="3" t="s">
        <v>76</v>
      </c>
      <c r="U70" s="3" t="s">
        <v>476</v>
      </c>
      <c r="V70" s="3"/>
      <c r="W70" s="3" t="s">
        <v>477</v>
      </c>
      <c r="X70" s="3"/>
      <c r="Y70" s="3" t="s">
        <v>53</v>
      </c>
      <c r="Z70" s="3" t="s">
        <v>54</v>
      </c>
      <c r="AA70" s="3" t="s">
        <v>55</v>
      </c>
      <c r="AB70" s="3" t="s">
        <v>67</v>
      </c>
      <c r="AC70" s="3" t="s">
        <v>478</v>
      </c>
      <c r="AD70" s="3"/>
      <c r="AE70" s="3"/>
      <c r="AF70" s="3"/>
      <c r="AG70" s="3"/>
      <c r="AH70" s="3"/>
      <c r="AI70" s="3"/>
      <c r="AJ70" s="3"/>
      <c r="AK70" s="3"/>
      <c r="AL70" s="1" t="str">
        <f>LEFT(U70,7)</f>
        <v>TQGP003</v>
      </c>
      <c r="AN70" t="str">
        <f>VLOOKUP(S70,Sheet1!$C:$D,2,0)</f>
        <v>LYHK7</v>
      </c>
    </row>
    <row r="71" spans="1:40" x14ac:dyDescent="0.25">
      <c r="A71" s="3">
        <v>70</v>
      </c>
      <c r="B71" s="3" t="s">
        <v>37</v>
      </c>
      <c r="C71" s="3" t="s">
        <v>38</v>
      </c>
      <c r="D71" s="3" t="s">
        <v>39</v>
      </c>
      <c r="E71" s="3" t="s">
        <v>57</v>
      </c>
      <c r="F71" s="3" t="s">
        <v>490</v>
      </c>
      <c r="G71" s="3" t="s">
        <v>491</v>
      </c>
      <c r="H71" s="3" t="s">
        <v>492</v>
      </c>
      <c r="I71" s="3">
        <v>-23</v>
      </c>
      <c r="J71" s="3">
        <v>22.632999999999999</v>
      </c>
      <c r="K71" s="3" t="s">
        <v>125</v>
      </c>
      <c r="L71" s="3"/>
      <c r="M71" s="3" t="s">
        <v>74</v>
      </c>
      <c r="N71" s="3"/>
      <c r="O71" s="3">
        <v>1</v>
      </c>
      <c r="P71" s="3">
        <v>0</v>
      </c>
      <c r="Q71" s="3" t="s">
        <v>46</v>
      </c>
      <c r="R71" s="3" t="s">
        <v>47</v>
      </c>
      <c r="S71" s="3" t="s">
        <v>133</v>
      </c>
      <c r="T71" s="3" t="s">
        <v>76</v>
      </c>
      <c r="U71" s="3" t="s">
        <v>493</v>
      </c>
      <c r="V71" s="3"/>
      <c r="W71" s="3" t="s">
        <v>494</v>
      </c>
      <c r="X71" s="3"/>
      <c r="Y71" s="3" t="s">
        <v>53</v>
      </c>
      <c r="Z71" s="3" t="s">
        <v>54</v>
      </c>
      <c r="AA71" s="3" t="s">
        <v>55</v>
      </c>
      <c r="AB71" s="3" t="s">
        <v>67</v>
      </c>
      <c r="AC71" s="3" t="s">
        <v>293</v>
      </c>
      <c r="AD71" s="3"/>
      <c r="AE71" s="3"/>
      <c r="AF71" s="3"/>
      <c r="AG71" s="3"/>
      <c r="AH71" s="3"/>
      <c r="AI71" s="3"/>
      <c r="AJ71" s="3"/>
      <c r="AK71" s="3"/>
      <c r="AL71" s="1" t="str">
        <f>LEFT(U71,7)</f>
        <v>TQGP032</v>
      </c>
      <c r="AN71" t="str">
        <f>VLOOKUP(S71,Sheet1!$C:$D,2,0)</f>
        <v>LYHK7</v>
      </c>
    </row>
    <row r="72" spans="1:40" x14ac:dyDescent="0.25">
      <c r="A72" s="3">
        <v>71</v>
      </c>
      <c r="B72" s="3" t="s">
        <v>37</v>
      </c>
      <c r="C72" s="3" t="s">
        <v>38</v>
      </c>
      <c r="D72" s="3" t="s">
        <v>39</v>
      </c>
      <c r="E72" s="3" t="s">
        <v>150</v>
      </c>
      <c r="F72" s="3" t="s">
        <v>211</v>
      </c>
      <c r="G72" s="3" t="s">
        <v>212</v>
      </c>
      <c r="H72" s="3" t="s">
        <v>213</v>
      </c>
      <c r="I72" s="3">
        <v>-23</v>
      </c>
      <c r="J72" s="3">
        <v>22.632999999999999</v>
      </c>
      <c r="K72" s="3" t="s">
        <v>125</v>
      </c>
      <c r="L72" s="3"/>
      <c r="M72" s="3" t="s">
        <v>74</v>
      </c>
      <c r="N72" s="3"/>
      <c r="O72" s="3">
        <v>4</v>
      </c>
      <c r="P72" s="3">
        <v>2</v>
      </c>
      <c r="Q72" s="3" t="s">
        <v>46</v>
      </c>
      <c r="R72" s="3" t="s">
        <v>86</v>
      </c>
      <c r="S72" s="3" t="s">
        <v>187</v>
      </c>
      <c r="T72" s="3" t="s">
        <v>49</v>
      </c>
      <c r="U72" s="3" t="s">
        <v>214</v>
      </c>
      <c r="V72" s="3"/>
      <c r="W72" s="3" t="s">
        <v>215</v>
      </c>
      <c r="X72" s="3" t="s">
        <v>216</v>
      </c>
      <c r="Y72" s="3" t="s">
        <v>66</v>
      </c>
      <c r="Z72" s="3" t="s">
        <v>54</v>
      </c>
      <c r="AA72" s="3" t="s">
        <v>55</v>
      </c>
      <c r="AB72" s="3" t="s">
        <v>217</v>
      </c>
      <c r="AC72" s="3" t="s">
        <v>218</v>
      </c>
      <c r="AD72" s="3"/>
      <c r="AE72" s="3"/>
      <c r="AF72" s="3"/>
      <c r="AG72" s="3"/>
      <c r="AH72" s="3"/>
      <c r="AI72" s="3"/>
      <c r="AJ72" s="3"/>
      <c r="AK72" s="3"/>
      <c r="AL72" s="1" t="str">
        <f>LEFT(U72,7)</f>
        <v>TQGP024</v>
      </c>
      <c r="AN72" t="str">
        <f>VLOOKUP(S72,Sheet1!$C:$D,2,0)</f>
        <v>UYENHT15</v>
      </c>
    </row>
    <row r="73" spans="1:40" x14ac:dyDescent="0.25">
      <c r="A73" s="3">
        <v>72</v>
      </c>
      <c r="B73" s="3" t="s">
        <v>37</v>
      </c>
      <c r="C73" s="3" t="s">
        <v>38</v>
      </c>
      <c r="D73" s="3" t="s">
        <v>39</v>
      </c>
      <c r="E73" s="3" t="s">
        <v>150</v>
      </c>
      <c r="F73" s="3" t="s">
        <v>184</v>
      </c>
      <c r="G73" s="3" t="s">
        <v>185</v>
      </c>
      <c r="H73" s="3" t="s">
        <v>186</v>
      </c>
      <c r="I73" s="3">
        <v>-23</v>
      </c>
      <c r="J73" s="3">
        <v>22.632999999999999</v>
      </c>
      <c r="K73" s="3" t="s">
        <v>125</v>
      </c>
      <c r="L73" s="3"/>
      <c r="M73" s="3" t="s">
        <v>74</v>
      </c>
      <c r="N73" s="3"/>
      <c r="O73" s="3">
        <v>2</v>
      </c>
      <c r="P73" s="3">
        <v>0</v>
      </c>
      <c r="Q73" s="3" t="s">
        <v>46</v>
      </c>
      <c r="R73" s="3" t="s">
        <v>86</v>
      </c>
      <c r="S73" s="3" t="s">
        <v>187</v>
      </c>
      <c r="T73" s="3" t="s">
        <v>76</v>
      </c>
      <c r="U73" s="3" t="s">
        <v>188</v>
      </c>
      <c r="V73" s="3"/>
      <c r="W73" s="3" t="s">
        <v>189</v>
      </c>
      <c r="X73" s="3"/>
      <c r="Y73" s="3" t="s">
        <v>66</v>
      </c>
      <c r="Z73" s="3" t="s">
        <v>54</v>
      </c>
      <c r="AA73" s="3" t="s">
        <v>55</v>
      </c>
      <c r="AB73" s="3" t="s">
        <v>54</v>
      </c>
      <c r="AC73" s="3" t="s">
        <v>105</v>
      </c>
      <c r="AD73" s="3"/>
      <c r="AE73" s="3"/>
      <c r="AF73" s="3"/>
      <c r="AG73" s="3"/>
      <c r="AH73" s="3"/>
      <c r="AI73" s="3"/>
      <c r="AJ73" s="3"/>
      <c r="AK73" s="3"/>
      <c r="AL73" s="1" t="str">
        <f>LEFT(U73,7)</f>
        <v>TQGP024</v>
      </c>
      <c r="AN73" t="str">
        <f>VLOOKUP(S73,Sheet1!$C:$D,2,0)</f>
        <v>UYENHT15</v>
      </c>
    </row>
    <row r="74" spans="1:40" x14ac:dyDescent="0.25">
      <c r="A74" s="3">
        <v>73</v>
      </c>
      <c r="B74" s="3" t="s">
        <v>37</v>
      </c>
      <c r="C74" s="3" t="s">
        <v>38</v>
      </c>
      <c r="D74" s="3" t="s">
        <v>39</v>
      </c>
      <c r="E74" s="3" t="s">
        <v>121</v>
      </c>
      <c r="F74" s="3" t="s">
        <v>484</v>
      </c>
      <c r="G74" s="3" t="s">
        <v>485</v>
      </c>
      <c r="H74" s="3" t="s">
        <v>486</v>
      </c>
      <c r="I74" s="3">
        <v>-23</v>
      </c>
      <c r="J74" s="3">
        <v>22.632999999999999</v>
      </c>
      <c r="K74" s="3" t="s">
        <v>125</v>
      </c>
      <c r="L74" s="3"/>
      <c r="M74" s="3" t="s">
        <v>74</v>
      </c>
      <c r="N74" s="3"/>
      <c r="O74" s="3">
        <v>1</v>
      </c>
      <c r="P74" s="3">
        <v>0</v>
      </c>
      <c r="Q74" s="3" t="s">
        <v>46</v>
      </c>
      <c r="R74" s="3" t="s">
        <v>47</v>
      </c>
      <c r="S74" s="3" t="s">
        <v>487</v>
      </c>
      <c r="T74" s="3" t="s">
        <v>160</v>
      </c>
      <c r="U74" s="3" t="s">
        <v>488</v>
      </c>
      <c r="V74" s="3"/>
      <c r="W74" s="3" t="s">
        <v>489</v>
      </c>
      <c r="X74" s="3"/>
      <c r="Y74" s="3" t="s">
        <v>53</v>
      </c>
      <c r="Z74" s="3" t="s">
        <v>54</v>
      </c>
      <c r="AA74" s="3" t="s">
        <v>79</v>
      </c>
      <c r="AB74" s="3" t="s">
        <v>54</v>
      </c>
      <c r="AC74" s="3" t="s">
        <v>80</v>
      </c>
      <c r="AD74" s="3"/>
      <c r="AE74" s="3"/>
      <c r="AF74" s="3"/>
      <c r="AG74" s="3"/>
      <c r="AH74" s="3"/>
      <c r="AI74" s="3"/>
      <c r="AJ74" s="3"/>
      <c r="AK74" s="3"/>
      <c r="AL74" s="1" t="str">
        <f>LEFT(U74,7)</f>
        <v>TQGP033</v>
      </c>
      <c r="AN74" t="str">
        <f>VLOOKUP(S74,Sheet1!$C:$D,2,0)</f>
        <v>HUONGTT33</v>
      </c>
    </row>
    <row r="75" spans="1:40" x14ac:dyDescent="0.25">
      <c r="A75" s="3">
        <v>74</v>
      </c>
      <c r="B75" s="3" t="s">
        <v>37</v>
      </c>
      <c r="C75" s="3" t="s">
        <v>38</v>
      </c>
      <c r="D75" s="3" t="s">
        <v>39</v>
      </c>
      <c r="E75" s="3" t="s">
        <v>57</v>
      </c>
      <c r="F75" s="3" t="s">
        <v>479</v>
      </c>
      <c r="G75" s="3" t="s">
        <v>480</v>
      </c>
      <c r="H75" s="3" t="s">
        <v>481</v>
      </c>
      <c r="I75" s="3">
        <v>-23</v>
      </c>
      <c r="J75" s="3">
        <v>22.632999999999999</v>
      </c>
      <c r="K75" s="3" t="s">
        <v>125</v>
      </c>
      <c r="L75" s="3"/>
      <c r="M75" s="3" t="s">
        <v>74</v>
      </c>
      <c r="N75" s="3"/>
      <c r="O75" s="3">
        <v>1</v>
      </c>
      <c r="P75" s="3">
        <v>0</v>
      </c>
      <c r="Q75" s="3" t="s">
        <v>46</v>
      </c>
      <c r="R75" s="3" t="s">
        <v>47</v>
      </c>
      <c r="S75" s="3" t="s">
        <v>133</v>
      </c>
      <c r="T75" s="3" t="s">
        <v>76</v>
      </c>
      <c r="U75" s="3" t="s">
        <v>482</v>
      </c>
      <c r="V75" s="3"/>
      <c r="W75" s="3" t="s">
        <v>483</v>
      </c>
      <c r="X75" s="3"/>
      <c r="Y75" s="3" t="s">
        <v>53</v>
      </c>
      <c r="Z75" s="3" t="s">
        <v>54</v>
      </c>
      <c r="AA75" s="3" t="s">
        <v>79</v>
      </c>
      <c r="AB75" s="3" t="s">
        <v>67</v>
      </c>
      <c r="AC75" s="3" t="s">
        <v>293</v>
      </c>
      <c r="AD75" s="3"/>
      <c r="AE75" s="3"/>
      <c r="AF75" s="3"/>
      <c r="AG75" s="3"/>
      <c r="AH75" s="3"/>
      <c r="AI75" s="3"/>
      <c r="AJ75" s="3"/>
      <c r="AK75" s="3"/>
      <c r="AL75" s="1" t="str">
        <f>LEFT(U75,7)</f>
        <v>TQGP030</v>
      </c>
      <c r="AN75" t="str">
        <f>VLOOKUP(S75,Sheet1!$C:$D,2,0)</f>
        <v>LYHK7</v>
      </c>
    </row>
    <row r="76" spans="1:40" x14ac:dyDescent="0.25">
      <c r="A76" s="3">
        <v>75</v>
      </c>
      <c r="B76" s="3" t="s">
        <v>37</v>
      </c>
      <c r="C76" s="3" t="s">
        <v>38</v>
      </c>
      <c r="D76" s="3" t="s">
        <v>39</v>
      </c>
      <c r="E76" s="3" t="s">
        <v>40</v>
      </c>
      <c r="F76" s="3" t="s">
        <v>571</v>
      </c>
      <c r="G76" s="3" t="s">
        <v>572</v>
      </c>
      <c r="H76" s="3" t="s">
        <v>573</v>
      </c>
      <c r="I76" s="3">
        <v>-26</v>
      </c>
      <c r="J76" s="3">
        <v>26.132999999999999</v>
      </c>
      <c r="K76" s="3" t="s">
        <v>125</v>
      </c>
      <c r="L76" s="3" t="s">
        <v>73</v>
      </c>
      <c r="M76" s="3" t="s">
        <v>132</v>
      </c>
      <c r="N76" s="3" t="s">
        <v>132</v>
      </c>
      <c r="O76" s="3">
        <v>1</v>
      </c>
      <c r="P76" s="3">
        <v>0</v>
      </c>
      <c r="Q76" s="3" t="s">
        <v>46</v>
      </c>
      <c r="R76" s="3" t="s">
        <v>47</v>
      </c>
      <c r="S76" s="3" t="s">
        <v>48</v>
      </c>
      <c r="T76" s="3" t="s">
        <v>160</v>
      </c>
      <c r="U76" s="3" t="s">
        <v>574</v>
      </c>
      <c r="V76" s="3"/>
      <c r="W76" s="3" t="s">
        <v>575</v>
      </c>
      <c r="X76" s="3"/>
      <c r="Y76" s="3" t="s">
        <v>53</v>
      </c>
      <c r="Z76" s="3" t="s">
        <v>54</v>
      </c>
      <c r="AA76" s="3" t="s">
        <v>55</v>
      </c>
      <c r="AB76" s="3" t="s">
        <v>54</v>
      </c>
      <c r="AC76" s="3" t="s">
        <v>114</v>
      </c>
      <c r="AD76" s="3"/>
      <c r="AE76" s="3"/>
      <c r="AF76" s="3"/>
      <c r="AG76" s="3"/>
      <c r="AH76" s="3"/>
      <c r="AI76" s="3"/>
      <c r="AJ76" s="3"/>
      <c r="AK76" s="3"/>
      <c r="AL76" s="1" t="str">
        <f>LEFT(U76,7)</f>
        <v>TQGP008</v>
      </c>
      <c r="AN76" t="str">
        <f>VLOOKUP(S76,Sheet1!$C:$D,2,0)</f>
        <v>TRANGHT28</v>
      </c>
    </row>
    <row r="77" spans="1:40" x14ac:dyDescent="0.25">
      <c r="A77" s="3">
        <v>76</v>
      </c>
      <c r="B77" s="3" t="s">
        <v>37</v>
      </c>
      <c r="C77" s="3" t="s">
        <v>38</v>
      </c>
      <c r="D77" s="3" t="s">
        <v>39</v>
      </c>
      <c r="E77" s="3" t="s">
        <v>259</v>
      </c>
      <c r="F77" s="3" t="s">
        <v>501</v>
      </c>
      <c r="G77" s="3" t="s">
        <v>502</v>
      </c>
      <c r="H77" s="3" t="s">
        <v>503</v>
      </c>
      <c r="I77" s="3">
        <v>-26</v>
      </c>
      <c r="J77" s="3">
        <v>26.132999999999999</v>
      </c>
      <c r="K77" s="3" t="s">
        <v>125</v>
      </c>
      <c r="L77" s="3"/>
      <c r="M77" s="3" t="s">
        <v>132</v>
      </c>
      <c r="N77" s="3"/>
      <c r="O77" s="3">
        <v>1</v>
      </c>
      <c r="P77" s="3">
        <v>0</v>
      </c>
      <c r="Q77" s="3" t="s">
        <v>46</v>
      </c>
      <c r="R77" s="3" t="s">
        <v>47</v>
      </c>
      <c r="S77" s="3" t="s">
        <v>374</v>
      </c>
      <c r="T77" s="3" t="s">
        <v>76</v>
      </c>
      <c r="U77" s="3" t="s">
        <v>504</v>
      </c>
      <c r="V77" s="3"/>
      <c r="W77" s="3" t="s">
        <v>505</v>
      </c>
      <c r="X77" s="3"/>
      <c r="Y77" s="3"/>
      <c r="Z77" s="3" t="s">
        <v>54</v>
      </c>
      <c r="AA77" s="3" t="s">
        <v>55</v>
      </c>
      <c r="AB77" s="3" t="s">
        <v>54</v>
      </c>
      <c r="AC77" s="3" t="s">
        <v>56</v>
      </c>
      <c r="AD77" s="3"/>
      <c r="AE77" s="3"/>
      <c r="AF77" s="3"/>
      <c r="AG77" s="3"/>
      <c r="AH77" s="3"/>
      <c r="AI77" s="3"/>
      <c r="AJ77" s="3"/>
      <c r="AK77" s="3"/>
      <c r="AL77" s="1" t="str">
        <f>LEFT(U77,7)</f>
        <v>TQGP001</v>
      </c>
      <c r="AN77" t="str">
        <f>VLOOKUP(S77,Sheet1!$C:$D,2,0)</f>
        <v>HUONGTT33</v>
      </c>
    </row>
    <row r="78" spans="1:40" x14ac:dyDescent="0.25">
      <c r="A78" s="3">
        <v>77</v>
      </c>
      <c r="B78" s="3" t="s">
        <v>37</v>
      </c>
      <c r="C78" s="3" t="s">
        <v>38</v>
      </c>
      <c r="D78" s="3" t="s">
        <v>39</v>
      </c>
      <c r="E78" s="3" t="s">
        <v>40</v>
      </c>
      <c r="F78" s="3" t="s">
        <v>506</v>
      </c>
      <c r="G78" s="3" t="s">
        <v>507</v>
      </c>
      <c r="H78" s="3" t="s">
        <v>508</v>
      </c>
      <c r="I78" s="3">
        <v>-26</v>
      </c>
      <c r="J78" s="3">
        <v>26.132999999999999</v>
      </c>
      <c r="K78" s="3" t="s">
        <v>125</v>
      </c>
      <c r="L78" s="3"/>
      <c r="M78" s="3" t="s">
        <v>132</v>
      </c>
      <c r="N78" s="3"/>
      <c r="O78" s="3">
        <v>8</v>
      </c>
      <c r="P78" s="3">
        <v>1</v>
      </c>
      <c r="Q78" s="3" t="s">
        <v>46</v>
      </c>
      <c r="R78" s="3" t="s">
        <v>47</v>
      </c>
      <c r="S78" s="3" t="s">
        <v>297</v>
      </c>
      <c r="T78" s="3" t="s">
        <v>76</v>
      </c>
      <c r="U78" s="3" t="s">
        <v>509</v>
      </c>
      <c r="V78" s="3"/>
      <c r="W78" s="3" t="s">
        <v>510</v>
      </c>
      <c r="X78" s="3" t="s">
        <v>511</v>
      </c>
      <c r="Y78" s="3" t="s">
        <v>53</v>
      </c>
      <c r="Z78" s="3" t="s">
        <v>54</v>
      </c>
      <c r="AA78" s="3" t="s">
        <v>55</v>
      </c>
      <c r="AB78" s="3" t="s">
        <v>67</v>
      </c>
      <c r="AC78" s="3" t="s">
        <v>231</v>
      </c>
      <c r="AD78" s="3"/>
      <c r="AE78" s="3"/>
      <c r="AF78" s="3"/>
      <c r="AG78" s="3"/>
      <c r="AH78" s="3"/>
      <c r="AI78" s="3"/>
      <c r="AJ78" s="3"/>
      <c r="AK78" s="3"/>
      <c r="AL78" s="1" t="str">
        <f>LEFT(U78,7)</f>
        <v>TQGP038</v>
      </c>
      <c r="AN78" t="str">
        <f>VLOOKUP(S78,Sheet1!$C:$D,2,0)</f>
        <v>TRANGDTH35</v>
      </c>
    </row>
    <row r="79" spans="1:40" x14ac:dyDescent="0.25">
      <c r="A79" s="3">
        <v>78</v>
      </c>
      <c r="B79" s="3" t="s">
        <v>37</v>
      </c>
      <c r="C79" s="3" t="s">
        <v>38</v>
      </c>
      <c r="D79" s="3" t="s">
        <v>39</v>
      </c>
      <c r="E79" s="3" t="s">
        <v>121</v>
      </c>
      <c r="F79" s="3" t="s">
        <v>576</v>
      </c>
      <c r="G79" s="3" t="s">
        <v>577</v>
      </c>
      <c r="H79" s="3" t="s">
        <v>578</v>
      </c>
      <c r="I79" s="3">
        <v>-26</v>
      </c>
      <c r="J79" s="3">
        <v>26.132999999999999</v>
      </c>
      <c r="K79" s="3" t="s">
        <v>125</v>
      </c>
      <c r="L79" s="3"/>
      <c r="M79" s="3" t="s">
        <v>132</v>
      </c>
      <c r="N79" s="3"/>
      <c r="O79" s="3">
        <v>1</v>
      </c>
      <c r="P79" s="3">
        <v>0</v>
      </c>
      <c r="Q79" s="3" t="s">
        <v>46</v>
      </c>
      <c r="R79" s="3" t="s">
        <v>47</v>
      </c>
      <c r="S79" s="3" t="s">
        <v>126</v>
      </c>
      <c r="T79" s="3" t="s">
        <v>160</v>
      </c>
      <c r="U79" s="3" t="s">
        <v>579</v>
      </c>
      <c r="V79" s="3"/>
      <c r="W79" s="3" t="s">
        <v>580</v>
      </c>
      <c r="X79" s="3"/>
      <c r="Y79" s="3" t="s">
        <v>66</v>
      </c>
      <c r="Z79" s="3" t="s">
        <v>54</v>
      </c>
      <c r="AA79" s="3" t="s">
        <v>79</v>
      </c>
      <c r="AB79" s="3" t="s">
        <v>54</v>
      </c>
      <c r="AC79" s="3" t="s">
        <v>80</v>
      </c>
      <c r="AD79" s="3"/>
      <c r="AE79" s="3"/>
      <c r="AF79" s="3"/>
      <c r="AG79" s="3"/>
      <c r="AH79" s="3"/>
      <c r="AI79" s="3"/>
      <c r="AJ79" s="3"/>
      <c r="AK79" s="3"/>
      <c r="AL79" s="1" t="str">
        <f>LEFT(U79,7)</f>
        <v>TQGP033</v>
      </c>
      <c r="AN79" t="str">
        <f>VLOOKUP(S79,Sheet1!$C:$D,2,0)</f>
        <v>UYENHT15</v>
      </c>
    </row>
    <row r="80" spans="1:40" x14ac:dyDescent="0.25">
      <c r="A80" s="3">
        <v>79</v>
      </c>
      <c r="B80" s="3" t="s">
        <v>37</v>
      </c>
      <c r="C80" s="3" t="s">
        <v>38</v>
      </c>
      <c r="D80" s="3" t="s">
        <v>39</v>
      </c>
      <c r="E80" s="3" t="s">
        <v>176</v>
      </c>
      <c r="F80" s="3" t="s">
        <v>177</v>
      </c>
      <c r="G80" s="3" t="s">
        <v>178</v>
      </c>
      <c r="H80" s="3" t="s">
        <v>179</v>
      </c>
      <c r="I80" s="3">
        <v>-26</v>
      </c>
      <c r="J80" s="3">
        <v>26.132999999999999</v>
      </c>
      <c r="K80" s="3" t="s">
        <v>125</v>
      </c>
      <c r="L80" s="3" t="s">
        <v>73</v>
      </c>
      <c r="M80" s="3" t="s">
        <v>132</v>
      </c>
      <c r="N80" s="3" t="s">
        <v>132</v>
      </c>
      <c r="O80" s="3">
        <v>4</v>
      </c>
      <c r="P80" s="3">
        <v>1</v>
      </c>
      <c r="Q80" s="3" t="s">
        <v>46</v>
      </c>
      <c r="R80" s="3" t="s">
        <v>173</v>
      </c>
      <c r="S80" s="3" t="s">
        <v>180</v>
      </c>
      <c r="T80" s="3" t="s">
        <v>76</v>
      </c>
      <c r="U80" s="3" t="s">
        <v>181</v>
      </c>
      <c r="V80" s="3"/>
      <c r="W80" s="3" t="s">
        <v>182</v>
      </c>
      <c r="X80" s="3" t="s">
        <v>183</v>
      </c>
      <c r="Y80" s="3" t="s">
        <v>53</v>
      </c>
      <c r="Z80" s="3" t="s">
        <v>54</v>
      </c>
      <c r="AA80" s="3"/>
      <c r="AB80" s="3" t="s">
        <v>54</v>
      </c>
      <c r="AC80" s="3" t="s">
        <v>114</v>
      </c>
      <c r="AD80" s="3"/>
      <c r="AE80" s="3"/>
      <c r="AF80" s="3"/>
      <c r="AG80" s="3"/>
      <c r="AH80" s="3"/>
      <c r="AI80" s="3"/>
      <c r="AJ80" s="3"/>
      <c r="AK80" s="3"/>
      <c r="AL80" s="1" t="str">
        <f>LEFT(U80,7)</f>
        <v>TQGP009</v>
      </c>
      <c r="AN80" t="str">
        <f>VLOOKUP(S80,Sheet1!$C:$D,2,0)</f>
        <v>TRANGDTH35</v>
      </c>
    </row>
    <row r="81" spans="1:40" x14ac:dyDescent="0.25">
      <c r="A81" s="3">
        <v>80</v>
      </c>
      <c r="B81" s="3" t="s">
        <v>37</v>
      </c>
      <c r="C81" s="3" t="s">
        <v>38</v>
      </c>
      <c r="D81" s="3" t="s">
        <v>39</v>
      </c>
      <c r="E81" s="3" t="s">
        <v>40</v>
      </c>
      <c r="F81" s="3" t="s">
        <v>232</v>
      </c>
      <c r="G81" s="3" t="s">
        <v>233</v>
      </c>
      <c r="H81" s="3" t="s">
        <v>234</v>
      </c>
      <c r="I81" s="3">
        <v>-26</v>
      </c>
      <c r="J81" s="3">
        <v>26.132999999999999</v>
      </c>
      <c r="K81" s="3" t="s">
        <v>125</v>
      </c>
      <c r="L81" s="3" t="s">
        <v>73</v>
      </c>
      <c r="M81" s="3" t="s">
        <v>132</v>
      </c>
      <c r="N81" s="3" t="s">
        <v>132</v>
      </c>
      <c r="O81" s="3">
        <v>2</v>
      </c>
      <c r="P81" s="3">
        <v>0</v>
      </c>
      <c r="Q81" s="3" t="s">
        <v>46</v>
      </c>
      <c r="R81" s="3" t="s">
        <v>86</v>
      </c>
      <c r="S81" s="3" t="s">
        <v>48</v>
      </c>
      <c r="T81" s="3" t="s">
        <v>76</v>
      </c>
      <c r="U81" s="3" t="s">
        <v>235</v>
      </c>
      <c r="V81" s="3"/>
      <c r="W81" s="3" t="s">
        <v>236</v>
      </c>
      <c r="X81" s="3"/>
      <c r="Y81" s="3" t="s">
        <v>53</v>
      </c>
      <c r="Z81" s="3" t="s">
        <v>54</v>
      </c>
      <c r="AA81" s="3" t="s">
        <v>55</v>
      </c>
      <c r="AB81" s="3" t="s">
        <v>217</v>
      </c>
      <c r="AC81" s="3" t="s">
        <v>237</v>
      </c>
      <c r="AD81" s="3"/>
      <c r="AE81" s="3"/>
      <c r="AF81" s="3"/>
      <c r="AG81" s="3"/>
      <c r="AH81" s="3"/>
      <c r="AI81" s="3"/>
      <c r="AJ81" s="3"/>
      <c r="AK81" s="3"/>
      <c r="AL81" s="1" t="str">
        <f>LEFT(U81,7)</f>
        <v>TQGP008</v>
      </c>
      <c r="AN81" t="str">
        <f>VLOOKUP(S81,Sheet1!$C:$D,2,0)</f>
        <v>TRANGHT28</v>
      </c>
    </row>
    <row r="82" spans="1:40" x14ac:dyDescent="0.25">
      <c r="A82" s="3">
        <v>81</v>
      </c>
      <c r="B82" s="3" t="s">
        <v>37</v>
      </c>
      <c r="C82" s="3" t="s">
        <v>38</v>
      </c>
      <c r="D82" s="3" t="s">
        <v>39</v>
      </c>
      <c r="E82" s="3" t="s">
        <v>176</v>
      </c>
      <c r="F82" s="3" t="s">
        <v>467</v>
      </c>
      <c r="G82" s="3" t="s">
        <v>468</v>
      </c>
      <c r="H82" s="3" t="s">
        <v>469</v>
      </c>
      <c r="I82" s="3">
        <v>-26</v>
      </c>
      <c r="J82" s="3">
        <v>26.132999999999999</v>
      </c>
      <c r="K82" s="3" t="s">
        <v>125</v>
      </c>
      <c r="L82" s="3"/>
      <c r="M82" s="3" t="s">
        <v>132</v>
      </c>
      <c r="N82" s="3"/>
      <c r="O82" s="3">
        <v>2</v>
      </c>
      <c r="P82" s="3">
        <v>0</v>
      </c>
      <c r="Q82" s="3" t="s">
        <v>46</v>
      </c>
      <c r="R82" s="3" t="s">
        <v>47</v>
      </c>
      <c r="S82" s="3" t="s">
        <v>180</v>
      </c>
      <c r="T82" s="3" t="s">
        <v>76</v>
      </c>
      <c r="U82" s="3" t="s">
        <v>470</v>
      </c>
      <c r="V82" s="3"/>
      <c r="W82" s="3" t="s">
        <v>471</v>
      </c>
      <c r="X82" s="3"/>
      <c r="Y82" s="3" t="s">
        <v>53</v>
      </c>
      <c r="Z82" s="3" t="s">
        <v>54</v>
      </c>
      <c r="AA82" s="3" t="s">
        <v>55</v>
      </c>
      <c r="AB82" s="3" t="s">
        <v>54</v>
      </c>
      <c r="AC82" s="3" t="s">
        <v>114</v>
      </c>
      <c r="AD82" s="3"/>
      <c r="AE82" s="3"/>
      <c r="AF82" s="3"/>
      <c r="AG82" s="3"/>
      <c r="AH82" s="3"/>
      <c r="AI82" s="3"/>
      <c r="AJ82" s="3"/>
      <c r="AK82" s="3"/>
      <c r="AL82" s="1" t="str">
        <f>LEFT(U82,7)</f>
        <v>TQGP009</v>
      </c>
      <c r="AN82" t="str">
        <f>VLOOKUP(S82,Sheet1!$C:$D,2,0)</f>
        <v>TRANGDTH35</v>
      </c>
    </row>
    <row r="83" spans="1:40" x14ac:dyDescent="0.25">
      <c r="A83" s="3">
        <v>82</v>
      </c>
      <c r="B83" s="3" t="s">
        <v>37</v>
      </c>
      <c r="C83" s="3" t="s">
        <v>38</v>
      </c>
      <c r="D83" s="3" t="s">
        <v>39</v>
      </c>
      <c r="E83" s="3" t="s">
        <v>176</v>
      </c>
      <c r="F83" s="3" t="s">
        <v>581</v>
      </c>
      <c r="G83" s="3" t="s">
        <v>582</v>
      </c>
      <c r="H83" s="3" t="s">
        <v>583</v>
      </c>
      <c r="I83" s="3">
        <v>-26</v>
      </c>
      <c r="J83" s="3">
        <v>26.132999999999999</v>
      </c>
      <c r="K83" s="3" t="s">
        <v>125</v>
      </c>
      <c r="L83" s="3" t="s">
        <v>73</v>
      </c>
      <c r="M83" s="3" t="s">
        <v>132</v>
      </c>
      <c r="N83" s="3" t="s">
        <v>132</v>
      </c>
      <c r="O83" s="3">
        <v>1</v>
      </c>
      <c r="P83" s="3">
        <v>0</v>
      </c>
      <c r="Q83" s="3" t="s">
        <v>46</v>
      </c>
      <c r="R83" s="3" t="s">
        <v>147</v>
      </c>
      <c r="S83" s="3" t="s">
        <v>238</v>
      </c>
      <c r="T83" s="3" t="s">
        <v>160</v>
      </c>
      <c r="U83" s="3" t="s">
        <v>584</v>
      </c>
      <c r="V83" s="3"/>
      <c r="W83" s="3" t="s">
        <v>585</v>
      </c>
      <c r="X83" s="3"/>
      <c r="Y83" s="3" t="s">
        <v>53</v>
      </c>
      <c r="Z83" s="3" t="s">
        <v>54</v>
      </c>
      <c r="AA83" s="3" t="s">
        <v>55</v>
      </c>
      <c r="AB83" s="3" t="s">
        <v>54</v>
      </c>
      <c r="AC83" s="3" t="s">
        <v>105</v>
      </c>
      <c r="AD83" s="3"/>
      <c r="AE83" s="3"/>
      <c r="AF83" s="3"/>
      <c r="AG83" s="3"/>
      <c r="AH83" s="3"/>
      <c r="AI83" s="3"/>
      <c r="AJ83" s="3"/>
      <c r="AK83" s="3"/>
      <c r="AL83" s="1" t="str">
        <f>LEFT(U83,7)</f>
        <v>TQGP006</v>
      </c>
      <c r="AN83" t="str">
        <f>VLOOKUP(S83,Sheet1!$C:$D,2,0)</f>
        <v>TRANGHT28</v>
      </c>
    </row>
    <row r="84" spans="1:40" x14ac:dyDescent="0.25">
      <c r="A84" s="3">
        <v>83</v>
      </c>
      <c r="B84" s="3" t="s">
        <v>37</v>
      </c>
      <c r="C84" s="3" t="s">
        <v>38</v>
      </c>
      <c r="D84" s="3" t="s">
        <v>39</v>
      </c>
      <c r="E84" s="3" t="s">
        <v>136</v>
      </c>
      <c r="F84" s="3" t="s">
        <v>495</v>
      </c>
      <c r="G84" s="3" t="s">
        <v>496</v>
      </c>
      <c r="H84" s="3" t="s">
        <v>497</v>
      </c>
      <c r="I84" s="3">
        <v>-26</v>
      </c>
      <c r="J84" s="3">
        <v>26.132999999999999</v>
      </c>
      <c r="K84" s="3" t="s">
        <v>125</v>
      </c>
      <c r="L84" s="3"/>
      <c r="M84" s="3" t="s">
        <v>132</v>
      </c>
      <c r="N84" s="3"/>
      <c r="O84" s="3">
        <v>2</v>
      </c>
      <c r="P84" s="3">
        <v>0</v>
      </c>
      <c r="Q84" s="3" t="s">
        <v>46</v>
      </c>
      <c r="R84" s="3" t="s">
        <v>47</v>
      </c>
      <c r="S84" s="3" t="s">
        <v>208</v>
      </c>
      <c r="T84" s="3" t="s">
        <v>76</v>
      </c>
      <c r="U84" s="3" t="s">
        <v>498</v>
      </c>
      <c r="V84" s="3"/>
      <c r="W84" s="3" t="s">
        <v>499</v>
      </c>
      <c r="X84" s="3"/>
      <c r="Y84" s="3" t="s">
        <v>500</v>
      </c>
      <c r="Z84" s="3" t="s">
        <v>54</v>
      </c>
      <c r="AA84" s="3" t="s">
        <v>55</v>
      </c>
      <c r="AB84" s="3" t="s">
        <v>54</v>
      </c>
      <c r="AC84" s="3" t="s">
        <v>114</v>
      </c>
      <c r="AD84" s="3"/>
      <c r="AE84" s="3"/>
      <c r="AF84" s="3"/>
      <c r="AG84" s="3"/>
      <c r="AH84" s="3"/>
      <c r="AI84" s="3"/>
      <c r="AJ84" s="3"/>
      <c r="AK84" s="3"/>
      <c r="AL84" s="1" t="str">
        <f>LEFT(U84,7)</f>
        <v>TQGP026</v>
      </c>
      <c r="AN84" t="str">
        <f>VLOOKUP(S84,Sheet1!$C:$D,2,0)</f>
        <v>TAMVTT5</v>
      </c>
    </row>
    <row r="85" spans="1:40" x14ac:dyDescent="0.25">
      <c r="A85" s="3">
        <v>84</v>
      </c>
      <c r="B85" s="3" t="s">
        <v>37</v>
      </c>
      <c r="C85" s="3" t="s">
        <v>38</v>
      </c>
      <c r="D85" s="3" t="s">
        <v>39</v>
      </c>
      <c r="E85" s="3" t="s">
        <v>176</v>
      </c>
      <c r="F85" s="3" t="s">
        <v>586</v>
      </c>
      <c r="G85" s="3" t="s">
        <v>587</v>
      </c>
      <c r="H85" s="3" t="s">
        <v>588</v>
      </c>
      <c r="I85" s="3">
        <v>-26</v>
      </c>
      <c r="J85" s="3">
        <v>26.132999999999999</v>
      </c>
      <c r="K85" s="3" t="s">
        <v>125</v>
      </c>
      <c r="L85" s="3"/>
      <c r="M85" s="3" t="s">
        <v>132</v>
      </c>
      <c r="N85" s="3"/>
      <c r="O85" s="3">
        <v>1</v>
      </c>
      <c r="P85" s="3">
        <v>0</v>
      </c>
      <c r="Q85" s="3" t="s">
        <v>46</v>
      </c>
      <c r="R85" s="3" t="s">
        <v>47</v>
      </c>
      <c r="S85" s="3" t="s">
        <v>230</v>
      </c>
      <c r="T85" s="3" t="s">
        <v>76</v>
      </c>
      <c r="U85" s="3" t="s">
        <v>589</v>
      </c>
      <c r="V85" s="3"/>
      <c r="W85" s="3" t="s">
        <v>590</v>
      </c>
      <c r="X85" s="3"/>
      <c r="Y85" s="3" t="s">
        <v>53</v>
      </c>
      <c r="Z85" s="3" t="s">
        <v>54</v>
      </c>
      <c r="AA85" s="3" t="s">
        <v>79</v>
      </c>
      <c r="AB85" s="3" t="s">
        <v>54</v>
      </c>
      <c r="AC85" s="3" t="s">
        <v>80</v>
      </c>
      <c r="AD85" s="3"/>
      <c r="AE85" s="3"/>
      <c r="AF85" s="3"/>
      <c r="AG85" s="3"/>
      <c r="AH85" s="3"/>
      <c r="AI85" s="3"/>
      <c r="AJ85" s="3"/>
      <c r="AK85" s="3"/>
      <c r="AL85" s="1" t="str">
        <f>LEFT(U85,7)</f>
        <v>TQGP006</v>
      </c>
      <c r="AN85" t="str">
        <f>VLOOKUP(S85,Sheet1!$C:$D,2,0)</f>
        <v>TRANGDTH35</v>
      </c>
    </row>
    <row r="86" spans="1:40" x14ac:dyDescent="0.25">
      <c r="A86" s="3">
        <v>85</v>
      </c>
      <c r="B86" s="3" t="s">
        <v>37</v>
      </c>
      <c r="C86" s="3" t="s">
        <v>38</v>
      </c>
      <c r="D86" s="3" t="s">
        <v>39</v>
      </c>
      <c r="E86" s="3" t="s">
        <v>176</v>
      </c>
      <c r="F86" s="3" t="s">
        <v>591</v>
      </c>
      <c r="G86" s="3" t="s">
        <v>592</v>
      </c>
      <c r="H86" s="3" t="s">
        <v>593</v>
      </c>
      <c r="I86" s="3">
        <v>-28</v>
      </c>
      <c r="J86" s="3">
        <v>28.132999999999999</v>
      </c>
      <c r="K86" s="3" t="s">
        <v>125</v>
      </c>
      <c r="L86" s="3" t="s">
        <v>73</v>
      </c>
      <c r="M86" s="3" t="s">
        <v>45</v>
      </c>
      <c r="N86" s="3" t="s">
        <v>132</v>
      </c>
      <c r="O86" s="3">
        <v>1</v>
      </c>
      <c r="P86" s="3">
        <v>0</v>
      </c>
      <c r="Q86" s="3" t="s">
        <v>46</v>
      </c>
      <c r="R86" s="3" t="s">
        <v>86</v>
      </c>
      <c r="S86" s="3" t="s">
        <v>238</v>
      </c>
      <c r="T86" s="3" t="s">
        <v>160</v>
      </c>
      <c r="U86" s="3" t="s">
        <v>594</v>
      </c>
      <c r="V86" s="3"/>
      <c r="W86" s="3" t="s">
        <v>595</v>
      </c>
      <c r="X86" s="3"/>
      <c r="Y86" s="3" t="s">
        <v>53</v>
      </c>
      <c r="Z86" s="3" t="s">
        <v>54</v>
      </c>
      <c r="AA86" s="3" t="s">
        <v>55</v>
      </c>
      <c r="AB86" s="3" t="s">
        <v>54</v>
      </c>
      <c r="AC86" s="3" t="s">
        <v>91</v>
      </c>
      <c r="AD86" s="3"/>
      <c r="AE86" s="3"/>
      <c r="AF86" s="3"/>
      <c r="AG86" s="3"/>
      <c r="AH86" s="3"/>
      <c r="AI86" s="3"/>
      <c r="AJ86" s="3"/>
      <c r="AK86" s="3"/>
      <c r="AL86" s="1" t="str">
        <f>LEFT(U86,7)</f>
        <v>TQGP006</v>
      </c>
      <c r="AN86" t="str">
        <f>VLOOKUP(S86,Sheet1!$C:$D,2,0)</f>
        <v>TRANGHT28</v>
      </c>
    </row>
    <row r="87" spans="1:40" x14ac:dyDescent="0.25">
      <c r="A87" s="3">
        <v>86</v>
      </c>
      <c r="B87" s="3" t="s">
        <v>37</v>
      </c>
      <c r="C87" s="3" t="s">
        <v>38</v>
      </c>
      <c r="D87" s="3" t="s">
        <v>39</v>
      </c>
      <c r="E87" s="3" t="s">
        <v>246</v>
      </c>
      <c r="F87" s="3" t="s">
        <v>512</v>
      </c>
      <c r="G87" s="3" t="s">
        <v>513</v>
      </c>
      <c r="H87" s="3" t="s">
        <v>514</v>
      </c>
      <c r="I87" s="3">
        <v>-28</v>
      </c>
      <c r="J87" s="3">
        <v>28.132999999999999</v>
      </c>
      <c r="K87" s="3" t="s">
        <v>125</v>
      </c>
      <c r="L87" s="3"/>
      <c r="M87" s="3" t="s">
        <v>45</v>
      </c>
      <c r="N87" s="3"/>
      <c r="O87" s="3">
        <v>3</v>
      </c>
      <c r="P87" s="3">
        <v>0</v>
      </c>
      <c r="Q87" s="3" t="s">
        <v>46</v>
      </c>
      <c r="R87" s="3" t="s">
        <v>47</v>
      </c>
      <c r="S87" s="3" t="s">
        <v>355</v>
      </c>
      <c r="T87" s="3" t="s">
        <v>76</v>
      </c>
      <c r="U87" s="3" t="s">
        <v>515</v>
      </c>
      <c r="V87" s="3"/>
      <c r="W87" s="3" t="s">
        <v>516</v>
      </c>
      <c r="X87" s="3" t="s">
        <v>517</v>
      </c>
      <c r="Y87" s="3" t="s">
        <v>53</v>
      </c>
      <c r="Z87" s="3" t="s">
        <v>54</v>
      </c>
      <c r="AA87" s="3" t="s">
        <v>55</v>
      </c>
      <c r="AB87" s="3" t="s">
        <v>54</v>
      </c>
      <c r="AC87" s="3" t="s">
        <v>305</v>
      </c>
      <c r="AD87" s="3"/>
      <c r="AE87" s="3"/>
      <c r="AF87" s="3"/>
      <c r="AG87" s="3"/>
      <c r="AH87" s="3"/>
      <c r="AI87" s="3"/>
      <c r="AJ87" s="3"/>
      <c r="AK87" s="3"/>
      <c r="AL87" s="1" t="str">
        <f>LEFT(U87,7)</f>
        <v>TQGP022</v>
      </c>
      <c r="AN87" t="str">
        <f>VLOOKUP(S87,Sheet1!$C:$D,2,0)</f>
        <v>LYHK7</v>
      </c>
    </row>
  </sheetData>
  <autoFilter ref="A1:AN87" xr:uid="{D7FD954C-E3A6-466C-A157-43D3EEC74352}">
    <sortState xmlns:xlrd2="http://schemas.microsoft.com/office/spreadsheetml/2017/richdata2" ref="A2:AN87">
      <sortCondition ref="AN1:AN87"/>
    </sortState>
  </autoFilter>
  <pageMargins left="0.75" right="0.75" top="0.75" bottom="0.5" header="0.5" footer="0.75"/>
  <extLst>
    <ext xmlns:x14="http://schemas.microsoft.com/office/spreadsheetml/2009/9/main" uri="{CCE6A557-97BC-4b89-ADB6-D9C93CAAB3DF}">
      <x14:dataValidations xmlns:xm="http://schemas.microsoft.com/office/excel/2006/main" count="1">
        <x14:dataValidation type="list" allowBlank="1" showInputMessage="1" showErrorMessage="1" xr:uid="{237FCB86-03DC-4472-95CF-A201BAF50E02}">
          <x14:formula1>
            <xm:f>Sheet1!$A$1:$A$2</xm:f>
          </x14:formula1>
          <xm:sqref>AM2:AM87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681D4-B11C-479F-BEA8-F811ED0FFB31}">
  <dimension ref="A1:W83"/>
  <sheetViews>
    <sheetView tabSelected="1" workbookViewId="0">
      <selection activeCell="X27" sqref="X27"/>
    </sheetView>
  </sheetViews>
  <sheetFormatPr defaultRowHeight="15" x14ac:dyDescent="0.25"/>
  <cols>
    <col min="1" max="17" width="9.140625" style="2"/>
    <col min="18" max="18" width="18.140625" style="2" bestFit="1" customWidth="1"/>
    <col min="19" max="22" width="9.140625" style="2"/>
    <col min="23" max="23" width="16" style="2" bestFit="1" customWidth="1"/>
    <col min="24" max="16384" width="9.140625" style="2"/>
  </cols>
  <sheetData>
    <row r="1" spans="1:23" x14ac:dyDescent="0.25">
      <c r="A1" s="2" t="s">
        <v>0</v>
      </c>
      <c r="B1" s="2" t="s">
        <v>1</v>
      </c>
      <c r="C1" s="2" t="s">
        <v>2</v>
      </c>
      <c r="D1" s="2" t="s">
        <v>5</v>
      </c>
      <c r="E1" s="2" t="s">
        <v>596</v>
      </c>
      <c r="F1" s="2" t="s">
        <v>4</v>
      </c>
      <c r="G1" s="2" t="s">
        <v>597</v>
      </c>
      <c r="H1" s="2" t="s">
        <v>598</v>
      </c>
      <c r="I1" s="2" t="s">
        <v>24</v>
      </c>
      <c r="J1" s="2" t="s">
        <v>599</v>
      </c>
      <c r="K1" s="2" t="s">
        <v>600</v>
      </c>
      <c r="L1" s="2" t="s">
        <v>601</v>
      </c>
      <c r="M1" s="2" t="s">
        <v>602</v>
      </c>
      <c r="N1" s="2" t="s">
        <v>603</v>
      </c>
      <c r="O1" s="2" t="s">
        <v>604</v>
      </c>
      <c r="P1" s="2" t="s">
        <v>605</v>
      </c>
      <c r="Q1" s="2" t="s">
        <v>606</v>
      </c>
      <c r="R1" s="2" t="s">
        <v>18</v>
      </c>
      <c r="S1" s="2" t="s">
        <v>607</v>
      </c>
      <c r="T1" s="2" t="s">
        <v>608</v>
      </c>
      <c r="U1" s="2" t="s">
        <v>609</v>
      </c>
      <c r="V1" s="2" t="s">
        <v>610</v>
      </c>
      <c r="W1" s="2" t="s">
        <v>611</v>
      </c>
    </row>
    <row r="2" spans="1:23" x14ac:dyDescent="0.25">
      <c r="A2" s="2" t="s">
        <v>612</v>
      </c>
      <c r="B2" s="2" t="s">
        <v>613</v>
      </c>
      <c r="C2" s="2" t="s">
        <v>38</v>
      </c>
      <c r="D2" s="2" t="s">
        <v>614</v>
      </c>
      <c r="E2" s="2" t="s">
        <v>615</v>
      </c>
      <c r="F2" s="2" t="s">
        <v>616</v>
      </c>
      <c r="G2" s="2" t="s">
        <v>617</v>
      </c>
      <c r="H2" s="2" t="s">
        <v>618</v>
      </c>
      <c r="I2" s="2" t="s">
        <v>53</v>
      </c>
      <c r="J2" s="2" t="s">
        <v>619</v>
      </c>
      <c r="K2" s="2" t="s">
        <v>76</v>
      </c>
      <c r="L2" s="2" t="s">
        <v>620</v>
      </c>
      <c r="M2" s="2" t="s">
        <v>621</v>
      </c>
      <c r="N2" s="2" t="s">
        <v>622</v>
      </c>
      <c r="O2" s="2" t="s">
        <v>623</v>
      </c>
      <c r="P2" s="2" t="s">
        <v>624</v>
      </c>
      <c r="Q2" s="2" t="s">
        <v>106</v>
      </c>
      <c r="R2" s="2" t="s">
        <v>110</v>
      </c>
      <c r="S2" s="2" t="s">
        <v>623</v>
      </c>
      <c r="T2" s="2" t="s">
        <v>625</v>
      </c>
      <c r="U2" s="2" t="s">
        <v>626</v>
      </c>
      <c r="V2" s="2" t="s">
        <v>627</v>
      </c>
      <c r="W2" s="2" t="str">
        <f>VLOOKUP(R2,Sheet1!$C:$D,2,0)</f>
        <v>TRANGHT28</v>
      </c>
    </row>
    <row r="3" spans="1:23" x14ac:dyDescent="0.25">
      <c r="A3" s="2" t="s">
        <v>628</v>
      </c>
      <c r="B3" s="2" t="s">
        <v>613</v>
      </c>
      <c r="C3" s="2" t="s">
        <v>38</v>
      </c>
      <c r="D3" s="2" t="s">
        <v>629</v>
      </c>
      <c r="E3" s="2" t="s">
        <v>615</v>
      </c>
      <c r="F3" s="2" t="s">
        <v>616</v>
      </c>
      <c r="G3" s="2" t="s">
        <v>630</v>
      </c>
      <c r="H3" s="2" t="s">
        <v>618</v>
      </c>
      <c r="I3" s="2" t="s">
        <v>53</v>
      </c>
      <c r="J3" s="2" t="s">
        <v>631</v>
      </c>
      <c r="K3" s="2" t="s">
        <v>632</v>
      </c>
      <c r="L3" s="2" t="s">
        <v>633</v>
      </c>
      <c r="M3" s="2" t="s">
        <v>634</v>
      </c>
      <c r="N3" s="2" t="s">
        <v>635</v>
      </c>
      <c r="O3" s="2" t="s">
        <v>623</v>
      </c>
      <c r="P3" s="2" t="s">
        <v>636</v>
      </c>
      <c r="Q3" s="2" t="s">
        <v>106</v>
      </c>
      <c r="R3" s="2" t="s">
        <v>110</v>
      </c>
      <c r="S3" s="2" t="s">
        <v>623</v>
      </c>
      <c r="T3" s="2" t="s">
        <v>625</v>
      </c>
      <c r="U3" s="2" t="s">
        <v>637</v>
      </c>
      <c r="V3" s="2" t="s">
        <v>638</v>
      </c>
      <c r="W3" s="2" t="str">
        <f>VLOOKUP(R3,Sheet1!$C:$D,2,0)</f>
        <v>TRANGHT28</v>
      </c>
    </row>
    <row r="4" spans="1:23" x14ac:dyDescent="0.25">
      <c r="A4" s="2" t="s">
        <v>639</v>
      </c>
      <c r="B4" s="2" t="s">
        <v>613</v>
      </c>
      <c r="C4" s="2" t="s">
        <v>38</v>
      </c>
      <c r="D4" s="2" t="s">
        <v>640</v>
      </c>
      <c r="E4" s="2" t="s">
        <v>615</v>
      </c>
      <c r="F4" s="2" t="s">
        <v>616</v>
      </c>
      <c r="G4" s="2" t="s">
        <v>641</v>
      </c>
      <c r="H4" s="2" t="s">
        <v>618</v>
      </c>
      <c r="I4" s="2" t="s">
        <v>66</v>
      </c>
      <c r="J4" s="2" t="s">
        <v>642</v>
      </c>
      <c r="K4" s="2" t="s">
        <v>643</v>
      </c>
      <c r="L4" s="2" t="s">
        <v>644</v>
      </c>
      <c r="M4" s="2" t="s">
        <v>634</v>
      </c>
      <c r="N4" s="2" t="s">
        <v>645</v>
      </c>
      <c r="O4" s="2" t="s">
        <v>623</v>
      </c>
      <c r="P4" s="2" t="s">
        <v>646</v>
      </c>
      <c r="Q4" s="2" t="s">
        <v>106</v>
      </c>
      <c r="R4" s="2" t="s">
        <v>110</v>
      </c>
      <c r="S4" s="2" t="s">
        <v>647</v>
      </c>
      <c r="T4" s="2" t="s">
        <v>623</v>
      </c>
      <c r="U4" s="2" t="s">
        <v>648</v>
      </c>
      <c r="W4" s="2" t="str">
        <f>VLOOKUP(R4,Sheet1!$C:$D,2,0)</f>
        <v>TRANGHT28</v>
      </c>
    </row>
    <row r="5" spans="1:23" x14ac:dyDescent="0.25">
      <c r="A5" s="2" t="s">
        <v>649</v>
      </c>
      <c r="B5" s="2" t="s">
        <v>613</v>
      </c>
      <c r="C5" s="2" t="s">
        <v>38</v>
      </c>
      <c r="D5" s="2" t="s">
        <v>650</v>
      </c>
      <c r="E5" s="2" t="s">
        <v>615</v>
      </c>
      <c r="F5" s="2" t="s">
        <v>651</v>
      </c>
      <c r="G5" s="2" t="s">
        <v>652</v>
      </c>
      <c r="H5" s="2" t="s">
        <v>618</v>
      </c>
      <c r="I5" s="2" t="s">
        <v>53</v>
      </c>
      <c r="J5" s="2" t="s">
        <v>653</v>
      </c>
      <c r="K5" s="2" t="s">
        <v>76</v>
      </c>
      <c r="L5" s="2" t="s">
        <v>654</v>
      </c>
      <c r="M5" s="2" t="s">
        <v>621</v>
      </c>
      <c r="N5" s="2" t="s">
        <v>655</v>
      </c>
      <c r="O5" s="2" t="s">
        <v>623</v>
      </c>
      <c r="P5" s="2" t="s">
        <v>656</v>
      </c>
      <c r="Q5" s="2" t="s">
        <v>176</v>
      </c>
      <c r="R5" s="2" t="s">
        <v>180</v>
      </c>
      <c r="S5" s="2" t="s">
        <v>657</v>
      </c>
      <c r="T5" s="2" t="s">
        <v>623</v>
      </c>
      <c r="U5" s="2" t="s">
        <v>658</v>
      </c>
      <c r="V5" s="2" t="s">
        <v>659</v>
      </c>
      <c r="W5" s="2" t="str">
        <f>VLOOKUP(R5,Sheet1!$C:$D,2,0)</f>
        <v>TRANGDTH35</v>
      </c>
    </row>
    <row r="6" spans="1:23" x14ac:dyDescent="0.25">
      <c r="A6" s="2" t="s">
        <v>660</v>
      </c>
      <c r="B6" s="2" t="s">
        <v>613</v>
      </c>
      <c r="C6" s="2" t="s">
        <v>38</v>
      </c>
      <c r="D6" s="2" t="s">
        <v>661</v>
      </c>
      <c r="E6" s="2" t="s">
        <v>615</v>
      </c>
      <c r="F6" s="2" t="s">
        <v>662</v>
      </c>
      <c r="G6" s="2" t="s">
        <v>663</v>
      </c>
      <c r="H6" s="2" t="s">
        <v>618</v>
      </c>
      <c r="I6" s="2" t="s">
        <v>66</v>
      </c>
      <c r="J6" s="2" t="s">
        <v>664</v>
      </c>
      <c r="K6" s="2" t="s">
        <v>76</v>
      </c>
      <c r="L6" s="2" t="s">
        <v>665</v>
      </c>
      <c r="M6" s="2" t="s">
        <v>666</v>
      </c>
      <c r="N6" s="2" t="s">
        <v>667</v>
      </c>
      <c r="O6" s="2" t="s">
        <v>623</v>
      </c>
      <c r="P6" s="2" t="s">
        <v>668</v>
      </c>
      <c r="Q6" s="2" t="s">
        <v>176</v>
      </c>
      <c r="R6" s="2" t="s">
        <v>230</v>
      </c>
      <c r="S6" s="2" t="s">
        <v>669</v>
      </c>
      <c r="T6" s="2" t="s">
        <v>623</v>
      </c>
      <c r="U6" s="2" t="s">
        <v>670</v>
      </c>
      <c r="V6" s="2" t="s">
        <v>671</v>
      </c>
      <c r="W6" s="2" t="str">
        <f>VLOOKUP(R6,Sheet1!$C:$D,2,0)</f>
        <v>TRANGDTH35</v>
      </c>
    </row>
    <row r="7" spans="1:23" x14ac:dyDescent="0.25">
      <c r="A7" s="2" t="s">
        <v>672</v>
      </c>
      <c r="B7" s="2" t="s">
        <v>613</v>
      </c>
      <c r="C7" s="2" t="s">
        <v>38</v>
      </c>
      <c r="D7" s="2" t="s">
        <v>673</v>
      </c>
      <c r="E7" s="2" t="s">
        <v>615</v>
      </c>
      <c r="F7" s="2" t="s">
        <v>674</v>
      </c>
      <c r="G7" s="2" t="s">
        <v>675</v>
      </c>
      <c r="H7" s="2" t="s">
        <v>618</v>
      </c>
      <c r="I7" s="2" t="s">
        <v>53</v>
      </c>
      <c r="J7" s="2" t="s">
        <v>676</v>
      </c>
      <c r="K7" s="2" t="s">
        <v>76</v>
      </c>
      <c r="L7" s="2" t="s">
        <v>677</v>
      </c>
      <c r="M7" s="2" t="s">
        <v>621</v>
      </c>
      <c r="N7" s="2" t="s">
        <v>678</v>
      </c>
      <c r="O7" s="2" t="s">
        <v>623</v>
      </c>
      <c r="P7" s="2" t="s">
        <v>679</v>
      </c>
      <c r="Q7" s="2" t="s">
        <v>121</v>
      </c>
      <c r="R7" s="2" t="s">
        <v>126</v>
      </c>
      <c r="S7" s="2" t="s">
        <v>680</v>
      </c>
      <c r="T7" s="2" t="s">
        <v>623</v>
      </c>
      <c r="U7" s="2" t="s">
        <v>681</v>
      </c>
      <c r="V7" s="2" t="s">
        <v>682</v>
      </c>
      <c r="W7" s="2" t="str">
        <f>VLOOKUP(R7,Sheet1!$C:$D,2,0)</f>
        <v>UYENHT15</v>
      </c>
    </row>
    <row r="8" spans="1:23" x14ac:dyDescent="0.25">
      <c r="A8" s="2" t="s">
        <v>683</v>
      </c>
      <c r="B8" s="2" t="s">
        <v>613</v>
      </c>
      <c r="C8" s="2" t="s">
        <v>38</v>
      </c>
      <c r="D8" s="2" t="s">
        <v>684</v>
      </c>
      <c r="E8" s="2" t="s">
        <v>615</v>
      </c>
      <c r="F8" s="2" t="s">
        <v>685</v>
      </c>
      <c r="G8" s="2" t="s">
        <v>686</v>
      </c>
      <c r="H8" s="2" t="s">
        <v>618</v>
      </c>
      <c r="I8" s="2" t="s">
        <v>53</v>
      </c>
      <c r="J8" s="2" t="s">
        <v>687</v>
      </c>
      <c r="K8" s="2" t="s">
        <v>643</v>
      </c>
      <c r="L8" s="2" t="s">
        <v>688</v>
      </c>
      <c r="M8" s="2" t="s">
        <v>621</v>
      </c>
      <c r="N8" s="2" t="s">
        <v>689</v>
      </c>
      <c r="O8" s="2" t="s">
        <v>623</v>
      </c>
      <c r="P8" s="2" t="s">
        <v>690</v>
      </c>
      <c r="Q8" s="2" t="s">
        <v>176</v>
      </c>
      <c r="R8" s="2" t="s">
        <v>227</v>
      </c>
      <c r="S8" s="2" t="s">
        <v>691</v>
      </c>
      <c r="T8" s="2" t="s">
        <v>623</v>
      </c>
      <c r="U8" s="2" t="s">
        <v>692</v>
      </c>
      <c r="V8" s="2" t="s">
        <v>693</v>
      </c>
      <c r="W8" s="2" t="str">
        <f>VLOOKUP(R8,Sheet1!$C:$D,2,0)</f>
        <v>TRANGDTH35</v>
      </c>
    </row>
    <row r="9" spans="1:23" x14ac:dyDescent="0.25">
      <c r="A9" s="2" t="s">
        <v>694</v>
      </c>
      <c r="B9" s="2" t="s">
        <v>613</v>
      </c>
      <c r="C9" s="2" t="s">
        <v>38</v>
      </c>
      <c r="D9" s="2" t="s">
        <v>695</v>
      </c>
      <c r="E9" s="2" t="s">
        <v>615</v>
      </c>
      <c r="F9" s="2" t="s">
        <v>696</v>
      </c>
      <c r="G9" s="2" t="s">
        <v>697</v>
      </c>
      <c r="H9" s="2" t="s">
        <v>618</v>
      </c>
      <c r="I9" s="2" t="s">
        <v>698</v>
      </c>
      <c r="J9" s="2" t="s">
        <v>699</v>
      </c>
      <c r="K9" s="2" t="s">
        <v>76</v>
      </c>
      <c r="L9" s="2" t="s">
        <v>700</v>
      </c>
      <c r="M9" s="2" t="s">
        <v>621</v>
      </c>
      <c r="N9" s="2" t="s">
        <v>701</v>
      </c>
      <c r="O9" s="2" t="s">
        <v>623</v>
      </c>
      <c r="P9" s="2" t="s">
        <v>702</v>
      </c>
      <c r="Q9" s="2" t="s">
        <v>150</v>
      </c>
      <c r="R9" s="2" t="s">
        <v>154</v>
      </c>
      <c r="S9" s="2" t="s">
        <v>657</v>
      </c>
      <c r="T9" s="2" t="s">
        <v>623</v>
      </c>
      <c r="U9" s="2" t="s">
        <v>703</v>
      </c>
      <c r="V9" s="2" t="s">
        <v>704</v>
      </c>
      <c r="W9" s="2" t="str">
        <f>VLOOKUP(R9,Sheet1!$C:$D,2,0)</f>
        <v>UYENHT15</v>
      </c>
    </row>
    <row r="10" spans="1:23" x14ac:dyDescent="0.25">
      <c r="A10" s="2" t="s">
        <v>705</v>
      </c>
      <c r="B10" s="2" t="s">
        <v>613</v>
      </c>
      <c r="C10" s="2" t="s">
        <v>38</v>
      </c>
      <c r="D10" s="2" t="s">
        <v>706</v>
      </c>
      <c r="E10" s="2" t="s">
        <v>615</v>
      </c>
      <c r="F10" s="2" t="s">
        <v>707</v>
      </c>
      <c r="G10" s="2" t="s">
        <v>708</v>
      </c>
      <c r="H10" s="2" t="s">
        <v>618</v>
      </c>
      <c r="I10" s="2" t="s">
        <v>66</v>
      </c>
      <c r="J10" s="2" t="s">
        <v>709</v>
      </c>
      <c r="K10" s="2" t="s">
        <v>632</v>
      </c>
      <c r="L10" s="2" t="s">
        <v>710</v>
      </c>
      <c r="M10" s="2" t="s">
        <v>621</v>
      </c>
      <c r="N10" s="2" t="s">
        <v>711</v>
      </c>
      <c r="O10" s="2" t="s">
        <v>623</v>
      </c>
      <c r="P10" s="2" t="s">
        <v>712</v>
      </c>
      <c r="Q10" s="2" t="s">
        <v>136</v>
      </c>
      <c r="R10" s="2" t="s">
        <v>208</v>
      </c>
      <c r="S10" s="2" t="s">
        <v>713</v>
      </c>
      <c r="T10" s="2" t="s">
        <v>623</v>
      </c>
      <c r="U10" s="2" t="s">
        <v>714</v>
      </c>
      <c r="W10" s="2" t="str">
        <f>VLOOKUP(R10,Sheet1!$C:$D,2,0)</f>
        <v>TAMVTT5</v>
      </c>
    </row>
    <row r="11" spans="1:23" x14ac:dyDescent="0.25">
      <c r="A11" s="2" t="s">
        <v>715</v>
      </c>
      <c r="B11" s="2" t="s">
        <v>613</v>
      </c>
      <c r="C11" s="2" t="s">
        <v>38</v>
      </c>
      <c r="D11" s="2" t="s">
        <v>716</v>
      </c>
      <c r="E11" s="2" t="s">
        <v>615</v>
      </c>
      <c r="F11" s="2" t="s">
        <v>717</v>
      </c>
      <c r="G11" s="2" t="s">
        <v>718</v>
      </c>
      <c r="H11" s="2" t="s">
        <v>618</v>
      </c>
      <c r="I11" s="2" t="s">
        <v>53</v>
      </c>
      <c r="J11" s="2" t="s">
        <v>719</v>
      </c>
      <c r="K11" s="2" t="s">
        <v>76</v>
      </c>
      <c r="L11" s="2" t="s">
        <v>720</v>
      </c>
      <c r="M11" s="2" t="s">
        <v>621</v>
      </c>
      <c r="N11" s="2" t="s">
        <v>721</v>
      </c>
      <c r="O11" s="2" t="s">
        <v>623</v>
      </c>
      <c r="P11" s="2" t="s">
        <v>722</v>
      </c>
      <c r="Q11" s="2" t="s">
        <v>259</v>
      </c>
      <c r="R11" s="2" t="s">
        <v>263</v>
      </c>
      <c r="S11" s="2" t="s">
        <v>723</v>
      </c>
      <c r="T11" s="2" t="s">
        <v>623</v>
      </c>
      <c r="U11" s="2" t="s">
        <v>724</v>
      </c>
      <c r="W11" s="2" t="str">
        <f>VLOOKUP(R11,Sheet1!$C:$D,2,0)</f>
        <v>ANHHV15</v>
      </c>
    </row>
    <row r="12" spans="1:23" x14ac:dyDescent="0.25">
      <c r="A12" s="2" t="s">
        <v>725</v>
      </c>
      <c r="B12" s="2" t="s">
        <v>613</v>
      </c>
      <c r="C12" s="2" t="s">
        <v>38</v>
      </c>
      <c r="D12" s="2" t="s">
        <v>726</v>
      </c>
      <c r="E12" s="2" t="s">
        <v>615</v>
      </c>
      <c r="F12" s="2" t="s">
        <v>727</v>
      </c>
      <c r="G12" s="2" t="s">
        <v>728</v>
      </c>
      <c r="H12" s="2" t="s">
        <v>618</v>
      </c>
      <c r="I12" s="2" t="s">
        <v>53</v>
      </c>
      <c r="J12" s="2" t="s">
        <v>729</v>
      </c>
      <c r="K12" s="2" t="s">
        <v>76</v>
      </c>
      <c r="L12" s="2" t="s">
        <v>730</v>
      </c>
      <c r="M12" s="2" t="s">
        <v>634</v>
      </c>
      <c r="N12" s="2" t="s">
        <v>731</v>
      </c>
      <c r="O12" s="2" t="s">
        <v>623</v>
      </c>
      <c r="P12" s="2" t="s">
        <v>624</v>
      </c>
      <c r="Q12" s="2" t="s">
        <v>40</v>
      </c>
      <c r="R12" s="2" t="s">
        <v>297</v>
      </c>
      <c r="S12" s="2" t="s">
        <v>732</v>
      </c>
      <c r="T12" s="2" t="s">
        <v>733</v>
      </c>
      <c r="U12" s="2" t="s">
        <v>734</v>
      </c>
      <c r="W12" s="2" t="str">
        <f>VLOOKUP(R12,Sheet1!$C:$D,2,0)</f>
        <v>TRANGDTH35</v>
      </c>
    </row>
    <row r="13" spans="1:23" x14ac:dyDescent="0.25">
      <c r="A13" s="2" t="s">
        <v>735</v>
      </c>
      <c r="B13" s="2" t="s">
        <v>613</v>
      </c>
      <c r="C13" s="2" t="s">
        <v>38</v>
      </c>
      <c r="D13" s="2" t="s">
        <v>736</v>
      </c>
      <c r="E13" s="2" t="s">
        <v>615</v>
      </c>
      <c r="F13" s="2" t="s">
        <v>696</v>
      </c>
      <c r="G13" s="2" t="s">
        <v>737</v>
      </c>
      <c r="H13" s="2" t="s">
        <v>618</v>
      </c>
      <c r="I13" s="2" t="s">
        <v>53</v>
      </c>
      <c r="J13" s="2" t="s">
        <v>738</v>
      </c>
      <c r="K13" s="2" t="s">
        <v>76</v>
      </c>
      <c r="L13" s="2" t="s">
        <v>739</v>
      </c>
      <c r="M13" s="2" t="s">
        <v>621</v>
      </c>
      <c r="N13" s="2" t="s">
        <v>740</v>
      </c>
      <c r="O13" s="2" t="s">
        <v>623</v>
      </c>
      <c r="P13" s="2" t="s">
        <v>741</v>
      </c>
      <c r="Q13" s="2" t="s">
        <v>150</v>
      </c>
      <c r="R13" s="2" t="s">
        <v>154</v>
      </c>
      <c r="S13" s="2" t="s">
        <v>669</v>
      </c>
      <c r="T13" s="2" t="s">
        <v>623</v>
      </c>
      <c r="U13" s="2" t="s">
        <v>742</v>
      </c>
      <c r="V13" s="2" t="s">
        <v>743</v>
      </c>
      <c r="W13" s="2" t="str">
        <f>VLOOKUP(R13,Sheet1!$C:$D,2,0)</f>
        <v>UYENHT15</v>
      </c>
    </row>
    <row r="14" spans="1:23" x14ac:dyDescent="0.25">
      <c r="A14" s="2" t="s">
        <v>744</v>
      </c>
      <c r="B14" s="2" t="s">
        <v>613</v>
      </c>
      <c r="C14" s="2" t="s">
        <v>38</v>
      </c>
      <c r="D14" s="2" t="s">
        <v>745</v>
      </c>
      <c r="E14" s="2" t="s">
        <v>615</v>
      </c>
      <c r="F14" s="2" t="s">
        <v>685</v>
      </c>
      <c r="G14" s="2" t="s">
        <v>746</v>
      </c>
      <c r="H14" s="2" t="s">
        <v>618</v>
      </c>
      <c r="I14" s="2" t="s">
        <v>53</v>
      </c>
      <c r="J14" s="2" t="s">
        <v>747</v>
      </c>
      <c r="K14" s="2" t="s">
        <v>76</v>
      </c>
      <c r="L14" s="2" t="s">
        <v>748</v>
      </c>
      <c r="M14" s="2" t="s">
        <v>621</v>
      </c>
      <c r="N14" s="2" t="s">
        <v>749</v>
      </c>
      <c r="O14" s="2" t="s">
        <v>623</v>
      </c>
      <c r="P14" s="2" t="s">
        <v>750</v>
      </c>
      <c r="Q14" s="2" t="s">
        <v>40</v>
      </c>
      <c r="R14" s="2" t="s">
        <v>48</v>
      </c>
      <c r="S14" s="2" t="s">
        <v>623</v>
      </c>
      <c r="T14" s="2" t="s">
        <v>669</v>
      </c>
      <c r="U14" s="2" t="s">
        <v>751</v>
      </c>
      <c r="V14" s="2" t="s">
        <v>752</v>
      </c>
      <c r="W14" s="2" t="str">
        <f>VLOOKUP(R14,Sheet1!$C:$D,2,0)</f>
        <v>TRANGHT28</v>
      </c>
    </row>
    <row r="15" spans="1:23" x14ac:dyDescent="0.25">
      <c r="A15" s="2" t="s">
        <v>753</v>
      </c>
      <c r="B15" s="2" t="s">
        <v>613</v>
      </c>
      <c r="C15" s="2" t="s">
        <v>38</v>
      </c>
      <c r="D15" s="2" t="s">
        <v>754</v>
      </c>
      <c r="E15" s="2" t="s">
        <v>615</v>
      </c>
      <c r="F15" s="2" t="s">
        <v>685</v>
      </c>
      <c r="G15" s="2" t="s">
        <v>755</v>
      </c>
      <c r="H15" s="2" t="s">
        <v>618</v>
      </c>
      <c r="I15" s="2" t="s">
        <v>53</v>
      </c>
      <c r="J15" s="2" t="s">
        <v>756</v>
      </c>
      <c r="K15" s="2" t="s">
        <v>76</v>
      </c>
      <c r="L15" s="2" t="s">
        <v>757</v>
      </c>
      <c r="M15" s="2" t="s">
        <v>621</v>
      </c>
      <c r="N15" s="2" t="s">
        <v>758</v>
      </c>
      <c r="O15" s="2" t="s">
        <v>623</v>
      </c>
      <c r="P15" s="2" t="s">
        <v>759</v>
      </c>
      <c r="Q15" s="2" t="s">
        <v>106</v>
      </c>
      <c r="R15" s="2" t="s">
        <v>533</v>
      </c>
      <c r="S15" s="2" t="s">
        <v>760</v>
      </c>
      <c r="T15" s="2" t="s">
        <v>623</v>
      </c>
      <c r="U15" s="2" t="s">
        <v>761</v>
      </c>
      <c r="V15" s="2" t="s">
        <v>762</v>
      </c>
      <c r="W15" s="2" t="str">
        <f>VLOOKUP(R15,Sheet1!$C:$D,2,0)</f>
        <v>TRANGHT28</v>
      </c>
    </row>
    <row r="16" spans="1:23" x14ac:dyDescent="0.25">
      <c r="A16" s="2" t="s">
        <v>763</v>
      </c>
      <c r="B16" s="2" t="s">
        <v>613</v>
      </c>
      <c r="C16" s="2" t="s">
        <v>38</v>
      </c>
      <c r="D16" s="2" t="s">
        <v>764</v>
      </c>
      <c r="E16" s="2" t="s">
        <v>615</v>
      </c>
      <c r="F16" s="2" t="s">
        <v>685</v>
      </c>
      <c r="G16" s="2" t="s">
        <v>765</v>
      </c>
      <c r="H16" s="2" t="s">
        <v>618</v>
      </c>
      <c r="I16" s="2" t="s">
        <v>66</v>
      </c>
      <c r="J16" s="2" t="s">
        <v>766</v>
      </c>
      <c r="K16" s="2" t="s">
        <v>76</v>
      </c>
      <c r="L16" s="2" t="s">
        <v>767</v>
      </c>
      <c r="M16" s="2" t="s">
        <v>621</v>
      </c>
      <c r="N16" s="2" t="s">
        <v>768</v>
      </c>
      <c r="O16" s="2" t="s">
        <v>623</v>
      </c>
      <c r="P16" s="2" t="s">
        <v>769</v>
      </c>
      <c r="Q16" s="2" t="s">
        <v>106</v>
      </c>
      <c r="R16" s="2" t="s">
        <v>533</v>
      </c>
      <c r="S16" s="2" t="s">
        <v>732</v>
      </c>
      <c r="T16" s="2" t="s">
        <v>623</v>
      </c>
      <c r="U16" s="2" t="s">
        <v>770</v>
      </c>
      <c r="W16" s="2" t="str">
        <f>VLOOKUP(R16,Sheet1!$C:$D,2,0)</f>
        <v>TRANGHT28</v>
      </c>
    </row>
    <row r="17" spans="1:23" x14ac:dyDescent="0.25">
      <c r="A17" s="2" t="s">
        <v>771</v>
      </c>
      <c r="B17" s="2" t="s">
        <v>613</v>
      </c>
      <c r="C17" s="2" t="s">
        <v>38</v>
      </c>
      <c r="D17" s="2" t="s">
        <v>772</v>
      </c>
      <c r="E17" s="2" t="s">
        <v>615</v>
      </c>
      <c r="F17" s="2" t="s">
        <v>773</v>
      </c>
      <c r="G17" s="2" t="s">
        <v>774</v>
      </c>
      <c r="H17" s="2" t="s">
        <v>618</v>
      </c>
      <c r="I17" s="2" t="s">
        <v>66</v>
      </c>
      <c r="J17" s="2" t="s">
        <v>775</v>
      </c>
      <c r="K17" s="2" t="s">
        <v>76</v>
      </c>
      <c r="L17" s="2" t="s">
        <v>776</v>
      </c>
      <c r="M17" s="2" t="s">
        <v>621</v>
      </c>
      <c r="N17" s="2" t="s">
        <v>777</v>
      </c>
      <c r="O17" s="2" t="s">
        <v>623</v>
      </c>
      <c r="P17" s="2" t="s">
        <v>769</v>
      </c>
      <c r="Q17" s="2" t="s">
        <v>176</v>
      </c>
      <c r="R17" s="2" t="s">
        <v>180</v>
      </c>
      <c r="S17" s="2" t="s">
        <v>778</v>
      </c>
      <c r="T17" s="2" t="s">
        <v>623</v>
      </c>
      <c r="U17" s="2" t="s">
        <v>779</v>
      </c>
      <c r="V17" s="2" t="s">
        <v>780</v>
      </c>
      <c r="W17" s="2" t="str">
        <f>VLOOKUP(R17,Sheet1!$C:$D,2,0)</f>
        <v>TRANGDTH35</v>
      </c>
    </row>
    <row r="18" spans="1:23" x14ac:dyDescent="0.25">
      <c r="A18" s="2" t="s">
        <v>781</v>
      </c>
      <c r="B18" s="2" t="s">
        <v>613</v>
      </c>
      <c r="C18" s="2" t="s">
        <v>38</v>
      </c>
      <c r="D18" s="2" t="s">
        <v>782</v>
      </c>
      <c r="E18" s="2" t="s">
        <v>615</v>
      </c>
      <c r="F18" s="2" t="s">
        <v>783</v>
      </c>
      <c r="G18" s="2" t="s">
        <v>784</v>
      </c>
      <c r="H18" s="2" t="s">
        <v>618</v>
      </c>
      <c r="I18" s="2" t="s">
        <v>53</v>
      </c>
      <c r="J18" s="2" t="s">
        <v>785</v>
      </c>
      <c r="K18" s="2" t="s">
        <v>76</v>
      </c>
      <c r="L18" s="2" t="s">
        <v>786</v>
      </c>
      <c r="M18" s="2" t="s">
        <v>621</v>
      </c>
      <c r="N18" s="2" t="s">
        <v>787</v>
      </c>
      <c r="O18" s="2" t="s">
        <v>623</v>
      </c>
      <c r="P18" s="2" t="s">
        <v>788</v>
      </c>
      <c r="Q18" s="2" t="s">
        <v>136</v>
      </c>
      <c r="R18" s="2" t="s">
        <v>140</v>
      </c>
      <c r="S18" s="2" t="s">
        <v>623</v>
      </c>
      <c r="T18" s="2" t="s">
        <v>789</v>
      </c>
      <c r="U18" s="2" t="s">
        <v>790</v>
      </c>
      <c r="V18" s="2" t="s">
        <v>791</v>
      </c>
      <c r="W18" s="2" t="str">
        <f>VLOOKUP(R18,Sheet1!$C:$D,2,0)</f>
        <v>TAMVTT5</v>
      </c>
    </row>
    <row r="19" spans="1:23" x14ac:dyDescent="0.25">
      <c r="A19" s="2" t="s">
        <v>792</v>
      </c>
      <c r="B19" s="2" t="s">
        <v>613</v>
      </c>
      <c r="C19" s="2" t="s">
        <v>38</v>
      </c>
      <c r="D19" s="2" t="s">
        <v>793</v>
      </c>
      <c r="E19" s="2" t="s">
        <v>615</v>
      </c>
      <c r="F19" s="2" t="s">
        <v>651</v>
      </c>
      <c r="G19" s="2" t="s">
        <v>794</v>
      </c>
      <c r="H19" s="2" t="s">
        <v>618</v>
      </c>
      <c r="I19" s="2" t="s">
        <v>53</v>
      </c>
      <c r="J19" s="2" t="s">
        <v>795</v>
      </c>
      <c r="K19" s="2" t="s">
        <v>76</v>
      </c>
      <c r="L19" s="2" t="s">
        <v>796</v>
      </c>
      <c r="M19" s="2" t="s">
        <v>621</v>
      </c>
      <c r="N19" s="2" t="s">
        <v>797</v>
      </c>
      <c r="O19" s="2" t="s">
        <v>623</v>
      </c>
      <c r="P19" s="2" t="s">
        <v>702</v>
      </c>
      <c r="Q19" s="2" t="s">
        <v>176</v>
      </c>
      <c r="R19" s="2" t="s">
        <v>180</v>
      </c>
      <c r="S19" s="2" t="s">
        <v>798</v>
      </c>
      <c r="T19" s="2" t="s">
        <v>623</v>
      </c>
      <c r="U19" s="2" t="s">
        <v>799</v>
      </c>
      <c r="V19" s="2" t="s">
        <v>800</v>
      </c>
      <c r="W19" s="2" t="str">
        <f>VLOOKUP(R19,Sheet1!$C:$D,2,0)</f>
        <v>TRANGDTH35</v>
      </c>
    </row>
    <row r="20" spans="1:23" x14ac:dyDescent="0.25">
      <c r="A20" s="2" t="s">
        <v>801</v>
      </c>
      <c r="B20" s="2" t="s">
        <v>613</v>
      </c>
      <c r="C20" s="2" t="s">
        <v>38</v>
      </c>
      <c r="D20" s="2" t="s">
        <v>802</v>
      </c>
      <c r="E20" s="2" t="s">
        <v>615</v>
      </c>
      <c r="F20" s="2" t="s">
        <v>674</v>
      </c>
      <c r="G20" s="2" t="s">
        <v>803</v>
      </c>
      <c r="H20" s="2" t="s">
        <v>618</v>
      </c>
      <c r="I20" s="2" t="s">
        <v>53</v>
      </c>
      <c r="J20" s="2" t="s">
        <v>804</v>
      </c>
      <c r="K20" s="2" t="s">
        <v>76</v>
      </c>
      <c r="L20" s="2" t="s">
        <v>805</v>
      </c>
      <c r="M20" s="2" t="s">
        <v>621</v>
      </c>
      <c r="N20" s="2" t="s">
        <v>806</v>
      </c>
      <c r="O20" s="2" t="s">
        <v>623</v>
      </c>
      <c r="P20" s="2" t="s">
        <v>807</v>
      </c>
      <c r="Q20" s="2" t="s">
        <v>121</v>
      </c>
      <c r="R20" s="2" t="s">
        <v>126</v>
      </c>
      <c r="S20" s="2" t="s">
        <v>732</v>
      </c>
      <c r="T20" s="2" t="s">
        <v>623</v>
      </c>
      <c r="U20" s="2" t="s">
        <v>808</v>
      </c>
      <c r="V20" s="2" t="s">
        <v>809</v>
      </c>
      <c r="W20" s="2" t="str">
        <f>VLOOKUP(R20,Sheet1!$C:$D,2,0)</f>
        <v>UYENHT15</v>
      </c>
    </row>
    <row r="21" spans="1:23" x14ac:dyDescent="0.25">
      <c r="A21" s="2" t="s">
        <v>810</v>
      </c>
      <c r="B21" s="2" t="s">
        <v>613</v>
      </c>
      <c r="C21" s="2" t="s">
        <v>38</v>
      </c>
      <c r="D21" s="2" t="s">
        <v>811</v>
      </c>
      <c r="E21" s="2" t="s">
        <v>615</v>
      </c>
      <c r="F21" s="2" t="s">
        <v>812</v>
      </c>
      <c r="G21" s="2" t="s">
        <v>813</v>
      </c>
      <c r="H21" s="2" t="s">
        <v>618</v>
      </c>
      <c r="I21" s="2" t="s">
        <v>53</v>
      </c>
      <c r="J21" s="2" t="s">
        <v>814</v>
      </c>
      <c r="K21" s="2" t="s">
        <v>76</v>
      </c>
      <c r="L21" s="2" t="s">
        <v>815</v>
      </c>
      <c r="M21" s="2" t="s">
        <v>634</v>
      </c>
      <c r="N21" s="2" t="s">
        <v>816</v>
      </c>
      <c r="O21" s="2" t="s">
        <v>623</v>
      </c>
      <c r="P21" s="2" t="s">
        <v>817</v>
      </c>
      <c r="Q21" s="2" t="s">
        <v>106</v>
      </c>
      <c r="R21" s="2" t="s">
        <v>533</v>
      </c>
      <c r="S21" s="2" t="s">
        <v>623</v>
      </c>
      <c r="T21" s="2" t="s">
        <v>818</v>
      </c>
      <c r="U21" s="2" t="s">
        <v>819</v>
      </c>
      <c r="V21" s="2" t="s">
        <v>820</v>
      </c>
      <c r="W21" s="2" t="str">
        <f>VLOOKUP(R21,Sheet1!$C:$D,2,0)</f>
        <v>TRANGHT28</v>
      </c>
    </row>
    <row r="22" spans="1:23" x14ac:dyDescent="0.25">
      <c r="A22" s="2" t="s">
        <v>821</v>
      </c>
      <c r="B22" s="2" t="s">
        <v>613</v>
      </c>
      <c r="C22" s="2" t="s">
        <v>38</v>
      </c>
      <c r="D22" s="2" t="s">
        <v>822</v>
      </c>
      <c r="E22" s="2" t="s">
        <v>615</v>
      </c>
      <c r="F22" s="2" t="s">
        <v>40</v>
      </c>
      <c r="G22" s="2" t="s">
        <v>823</v>
      </c>
      <c r="H22" s="2" t="s">
        <v>824</v>
      </c>
      <c r="I22" s="2" t="s">
        <v>53</v>
      </c>
      <c r="J22" s="2" t="s">
        <v>825</v>
      </c>
      <c r="K22" s="2" t="s">
        <v>76</v>
      </c>
      <c r="L22" s="2" t="s">
        <v>826</v>
      </c>
      <c r="M22" s="2" t="s">
        <v>827</v>
      </c>
      <c r="O22" s="2" t="s">
        <v>623</v>
      </c>
      <c r="P22" s="2" t="s">
        <v>828</v>
      </c>
      <c r="Q22" s="2" t="s">
        <v>176</v>
      </c>
      <c r="R22" s="2" t="s">
        <v>238</v>
      </c>
      <c r="S22" s="2" t="s">
        <v>623</v>
      </c>
      <c r="T22" s="2" t="s">
        <v>829</v>
      </c>
      <c r="U22" s="2" t="s">
        <v>830</v>
      </c>
      <c r="V22" s="2" t="s">
        <v>831</v>
      </c>
      <c r="W22" s="2" t="str">
        <f>VLOOKUP(R22,Sheet1!$C:$D,2,0)</f>
        <v>TRANGHT28</v>
      </c>
    </row>
    <row r="23" spans="1:23" x14ac:dyDescent="0.25">
      <c r="A23" s="2" t="s">
        <v>832</v>
      </c>
      <c r="B23" s="2" t="s">
        <v>613</v>
      </c>
      <c r="C23" s="2" t="s">
        <v>38</v>
      </c>
      <c r="D23" s="2" t="s">
        <v>833</v>
      </c>
      <c r="E23" s="2" t="s">
        <v>615</v>
      </c>
      <c r="F23" s="2" t="s">
        <v>662</v>
      </c>
      <c r="G23" s="2" t="s">
        <v>834</v>
      </c>
      <c r="H23" s="2" t="s">
        <v>618</v>
      </c>
      <c r="I23" s="2" t="s">
        <v>66</v>
      </c>
      <c r="J23" s="2" t="s">
        <v>835</v>
      </c>
      <c r="K23" s="2" t="s">
        <v>76</v>
      </c>
      <c r="L23" s="2" t="s">
        <v>836</v>
      </c>
      <c r="M23" s="2" t="s">
        <v>634</v>
      </c>
      <c r="N23" s="2" t="s">
        <v>837</v>
      </c>
      <c r="O23" s="2" t="s">
        <v>623</v>
      </c>
      <c r="P23" s="2" t="s">
        <v>838</v>
      </c>
      <c r="Q23" s="2" t="s">
        <v>176</v>
      </c>
      <c r="R23" s="2" t="s">
        <v>238</v>
      </c>
      <c r="S23" s="2" t="s">
        <v>839</v>
      </c>
      <c r="T23" s="2" t="s">
        <v>623</v>
      </c>
      <c r="U23" s="2" t="s">
        <v>840</v>
      </c>
      <c r="V23" s="2" t="s">
        <v>841</v>
      </c>
      <c r="W23" s="2" t="str">
        <f>VLOOKUP(R23,Sheet1!$C:$D,2,0)</f>
        <v>TRANGHT28</v>
      </c>
    </row>
    <row r="24" spans="1:23" x14ac:dyDescent="0.25">
      <c r="A24" s="2" t="s">
        <v>842</v>
      </c>
      <c r="B24" s="2" t="s">
        <v>613</v>
      </c>
      <c r="C24" s="2" t="s">
        <v>38</v>
      </c>
      <c r="D24" s="2" t="s">
        <v>843</v>
      </c>
      <c r="E24" s="2" t="s">
        <v>615</v>
      </c>
      <c r="F24" s="2" t="s">
        <v>651</v>
      </c>
      <c r="G24" s="2" t="s">
        <v>844</v>
      </c>
      <c r="H24" s="2" t="s">
        <v>618</v>
      </c>
      <c r="I24" s="2" t="s">
        <v>53</v>
      </c>
      <c r="J24" s="2" t="s">
        <v>845</v>
      </c>
      <c r="K24" s="2" t="s">
        <v>76</v>
      </c>
      <c r="L24" s="2" t="s">
        <v>846</v>
      </c>
      <c r="M24" s="2" t="s">
        <v>621</v>
      </c>
      <c r="N24" s="2" t="s">
        <v>847</v>
      </c>
      <c r="O24" s="2" t="s">
        <v>623</v>
      </c>
      <c r="P24" s="2" t="s">
        <v>624</v>
      </c>
      <c r="Q24" s="2" t="s">
        <v>176</v>
      </c>
      <c r="R24" s="2" t="s">
        <v>180</v>
      </c>
      <c r="S24" s="2" t="s">
        <v>848</v>
      </c>
      <c r="T24" s="2" t="s">
        <v>623</v>
      </c>
      <c r="U24" s="2" t="s">
        <v>849</v>
      </c>
      <c r="W24" s="2" t="str">
        <f>VLOOKUP(R24,Sheet1!$C:$D,2,0)</f>
        <v>TRANGDTH35</v>
      </c>
    </row>
    <row r="25" spans="1:23" x14ac:dyDescent="0.25">
      <c r="A25" s="2" t="s">
        <v>850</v>
      </c>
      <c r="B25" s="2" t="s">
        <v>613</v>
      </c>
      <c r="C25" s="2" t="s">
        <v>38</v>
      </c>
      <c r="D25" s="2" t="s">
        <v>851</v>
      </c>
      <c r="E25" s="2" t="s">
        <v>615</v>
      </c>
      <c r="F25" s="2" t="s">
        <v>852</v>
      </c>
      <c r="G25" s="2" t="s">
        <v>853</v>
      </c>
      <c r="H25" s="2" t="s">
        <v>618</v>
      </c>
      <c r="I25" s="2" t="s">
        <v>53</v>
      </c>
      <c r="J25" s="2" t="s">
        <v>854</v>
      </c>
      <c r="K25" s="2" t="s">
        <v>76</v>
      </c>
      <c r="L25" s="2" t="s">
        <v>855</v>
      </c>
      <c r="M25" s="2" t="s">
        <v>634</v>
      </c>
      <c r="N25" s="2" t="s">
        <v>856</v>
      </c>
      <c r="O25" s="2" t="s">
        <v>623</v>
      </c>
      <c r="P25" s="2" t="s">
        <v>712</v>
      </c>
      <c r="Q25" s="2" t="s">
        <v>259</v>
      </c>
      <c r="R25" s="2" t="s">
        <v>374</v>
      </c>
      <c r="S25" s="2" t="s">
        <v>623</v>
      </c>
      <c r="T25" s="2" t="s">
        <v>669</v>
      </c>
      <c r="U25" s="2" t="s">
        <v>857</v>
      </c>
      <c r="V25" s="2" t="s">
        <v>858</v>
      </c>
      <c r="W25" s="2" t="str">
        <f>VLOOKUP(R25,Sheet1!$C:$D,2,0)</f>
        <v>HUONGTT33</v>
      </c>
    </row>
    <row r="26" spans="1:23" x14ac:dyDescent="0.25">
      <c r="A26" s="2" t="s">
        <v>859</v>
      </c>
      <c r="B26" s="2" t="s">
        <v>613</v>
      </c>
      <c r="C26" s="2" t="s">
        <v>38</v>
      </c>
      <c r="D26" s="2" t="s">
        <v>860</v>
      </c>
      <c r="E26" s="2" t="s">
        <v>615</v>
      </c>
      <c r="F26" s="2" t="s">
        <v>861</v>
      </c>
      <c r="G26" s="2" t="s">
        <v>862</v>
      </c>
      <c r="H26" s="2" t="s">
        <v>618</v>
      </c>
      <c r="I26" s="2" t="s">
        <v>66</v>
      </c>
      <c r="J26" s="2" t="s">
        <v>863</v>
      </c>
      <c r="K26" s="2" t="s">
        <v>643</v>
      </c>
      <c r="L26" s="2" t="s">
        <v>864</v>
      </c>
      <c r="M26" s="2" t="s">
        <v>621</v>
      </c>
      <c r="N26" s="2" t="s">
        <v>865</v>
      </c>
      <c r="O26" s="2" t="s">
        <v>623</v>
      </c>
      <c r="P26" s="2" t="s">
        <v>656</v>
      </c>
      <c r="Q26" s="2" t="s">
        <v>69</v>
      </c>
      <c r="R26" s="2" t="s">
        <v>102</v>
      </c>
      <c r="S26" s="2" t="s">
        <v>778</v>
      </c>
      <c r="T26" s="2" t="s">
        <v>623</v>
      </c>
      <c r="U26" s="2" t="s">
        <v>866</v>
      </c>
      <c r="V26" s="2" t="s">
        <v>867</v>
      </c>
      <c r="W26" s="2" t="str">
        <f>VLOOKUP(R26,Sheet1!$C:$D,2,0)</f>
        <v>HUONGTT33</v>
      </c>
    </row>
    <row r="27" spans="1:23" x14ac:dyDescent="0.25">
      <c r="A27" s="2" t="s">
        <v>868</v>
      </c>
      <c r="B27" s="2" t="s">
        <v>613</v>
      </c>
      <c r="C27" s="2" t="s">
        <v>38</v>
      </c>
      <c r="D27" s="2" t="s">
        <v>869</v>
      </c>
      <c r="E27" s="2" t="s">
        <v>615</v>
      </c>
      <c r="F27" s="2" t="s">
        <v>685</v>
      </c>
      <c r="G27" s="2" t="s">
        <v>870</v>
      </c>
      <c r="H27" s="2" t="s">
        <v>618</v>
      </c>
      <c r="I27" s="2" t="s">
        <v>66</v>
      </c>
      <c r="J27" s="2" t="s">
        <v>871</v>
      </c>
      <c r="K27" s="2" t="s">
        <v>76</v>
      </c>
      <c r="L27" s="2" t="s">
        <v>872</v>
      </c>
      <c r="M27" s="2" t="s">
        <v>634</v>
      </c>
      <c r="N27" s="2" t="s">
        <v>873</v>
      </c>
      <c r="O27" s="2" t="s">
        <v>623</v>
      </c>
      <c r="P27" s="2" t="s">
        <v>874</v>
      </c>
      <c r="Q27" s="2" t="s">
        <v>40</v>
      </c>
      <c r="R27" s="2" t="s">
        <v>48</v>
      </c>
      <c r="S27" s="2" t="s">
        <v>657</v>
      </c>
      <c r="T27" s="2" t="s">
        <v>623</v>
      </c>
      <c r="U27" s="2" t="s">
        <v>875</v>
      </c>
      <c r="V27" s="2" t="s">
        <v>876</v>
      </c>
      <c r="W27" s="2" t="str">
        <f>VLOOKUP(R27,Sheet1!$C:$D,2,0)</f>
        <v>TRANGHT28</v>
      </c>
    </row>
    <row r="28" spans="1:23" x14ac:dyDescent="0.25">
      <c r="A28" s="2" t="s">
        <v>877</v>
      </c>
      <c r="B28" s="2" t="s">
        <v>613</v>
      </c>
      <c r="C28" s="2" t="s">
        <v>38</v>
      </c>
      <c r="D28" s="2" t="s">
        <v>878</v>
      </c>
      <c r="E28" s="2" t="s">
        <v>615</v>
      </c>
      <c r="F28" s="2" t="s">
        <v>861</v>
      </c>
      <c r="G28" s="2" t="s">
        <v>879</v>
      </c>
      <c r="H28" s="2" t="s">
        <v>618</v>
      </c>
      <c r="I28" s="2" t="s">
        <v>880</v>
      </c>
      <c r="J28" s="2" t="s">
        <v>881</v>
      </c>
      <c r="K28" s="2" t="s">
        <v>76</v>
      </c>
      <c r="L28" s="2" t="s">
        <v>882</v>
      </c>
      <c r="M28" s="2" t="s">
        <v>621</v>
      </c>
      <c r="N28" s="2" t="s">
        <v>883</v>
      </c>
      <c r="O28" s="2" t="s">
        <v>623</v>
      </c>
      <c r="P28" s="2" t="s">
        <v>884</v>
      </c>
      <c r="Q28" s="2" t="s">
        <v>69</v>
      </c>
      <c r="R28" s="2" t="s">
        <v>390</v>
      </c>
      <c r="S28" s="2" t="s">
        <v>885</v>
      </c>
      <c r="T28" s="2" t="s">
        <v>623</v>
      </c>
      <c r="U28" s="2" t="s">
        <v>886</v>
      </c>
      <c r="V28" s="2" t="s">
        <v>887</v>
      </c>
      <c r="W28" s="2" t="str">
        <f>VLOOKUP(R28,Sheet1!$C:$D,2,0)</f>
        <v>HUONGTT33</v>
      </c>
    </row>
    <row r="29" spans="1:23" x14ac:dyDescent="0.25">
      <c r="A29" s="2" t="s">
        <v>888</v>
      </c>
      <c r="B29" s="2" t="s">
        <v>613</v>
      </c>
      <c r="C29" s="2" t="s">
        <v>38</v>
      </c>
      <c r="D29" s="2" t="s">
        <v>889</v>
      </c>
      <c r="E29" s="2" t="s">
        <v>615</v>
      </c>
      <c r="F29" s="2" t="s">
        <v>783</v>
      </c>
      <c r="G29" s="2" t="s">
        <v>879</v>
      </c>
      <c r="H29" s="2" t="s">
        <v>618</v>
      </c>
      <c r="I29" s="2" t="s">
        <v>880</v>
      </c>
      <c r="J29" s="2" t="s">
        <v>890</v>
      </c>
      <c r="K29" s="2" t="s">
        <v>76</v>
      </c>
      <c r="L29" s="2" t="s">
        <v>891</v>
      </c>
      <c r="M29" s="2" t="s">
        <v>621</v>
      </c>
      <c r="N29" s="2" t="s">
        <v>892</v>
      </c>
      <c r="O29" s="2" t="s">
        <v>623</v>
      </c>
      <c r="P29" s="2" t="s">
        <v>884</v>
      </c>
      <c r="Q29" s="2" t="s">
        <v>136</v>
      </c>
      <c r="R29" s="2" t="s">
        <v>140</v>
      </c>
      <c r="S29" s="2" t="s">
        <v>732</v>
      </c>
      <c r="T29" s="2" t="s">
        <v>623</v>
      </c>
      <c r="U29" s="2" t="s">
        <v>893</v>
      </c>
      <c r="W29" s="2" t="str">
        <f>VLOOKUP(R29,Sheet1!$C:$D,2,0)</f>
        <v>TAMVTT5</v>
      </c>
    </row>
    <row r="30" spans="1:23" x14ac:dyDescent="0.25">
      <c r="A30" s="2" t="s">
        <v>894</v>
      </c>
      <c r="B30" s="2" t="s">
        <v>613</v>
      </c>
      <c r="C30" s="2" t="s">
        <v>38</v>
      </c>
      <c r="D30" s="2" t="s">
        <v>895</v>
      </c>
      <c r="E30" s="2" t="s">
        <v>615</v>
      </c>
      <c r="F30" s="2" t="s">
        <v>696</v>
      </c>
      <c r="G30" s="2" t="s">
        <v>896</v>
      </c>
      <c r="H30" s="2" t="s">
        <v>618</v>
      </c>
      <c r="I30" s="2" t="s">
        <v>53</v>
      </c>
      <c r="J30" s="2" t="s">
        <v>897</v>
      </c>
      <c r="K30" s="2" t="s">
        <v>76</v>
      </c>
      <c r="L30" s="2" t="s">
        <v>898</v>
      </c>
      <c r="M30" s="2" t="s">
        <v>621</v>
      </c>
      <c r="N30" s="2" t="s">
        <v>899</v>
      </c>
      <c r="O30" s="2" t="s">
        <v>623</v>
      </c>
      <c r="P30" s="2" t="s">
        <v>900</v>
      </c>
      <c r="Q30" s="2" t="s">
        <v>150</v>
      </c>
      <c r="R30" s="2" t="s">
        <v>167</v>
      </c>
      <c r="S30" s="2" t="s">
        <v>829</v>
      </c>
      <c r="T30" s="2" t="s">
        <v>623</v>
      </c>
      <c r="U30" s="2" t="s">
        <v>901</v>
      </c>
      <c r="V30" s="2" t="s">
        <v>902</v>
      </c>
      <c r="W30" s="2" t="str">
        <f>VLOOKUP(R30,Sheet1!$C:$D,2,0)</f>
        <v>UYENHT15</v>
      </c>
    </row>
    <row r="31" spans="1:23" x14ac:dyDescent="0.25">
      <c r="A31" s="2" t="s">
        <v>903</v>
      </c>
      <c r="B31" s="2" t="s">
        <v>613</v>
      </c>
      <c r="C31" s="2" t="s">
        <v>38</v>
      </c>
      <c r="D31" s="2" t="s">
        <v>904</v>
      </c>
      <c r="E31" s="2" t="s">
        <v>615</v>
      </c>
      <c r="F31" s="2" t="s">
        <v>651</v>
      </c>
      <c r="G31" s="2" t="s">
        <v>905</v>
      </c>
      <c r="H31" s="2" t="s">
        <v>618</v>
      </c>
      <c r="I31" s="2" t="s">
        <v>53</v>
      </c>
      <c r="J31" s="2" t="s">
        <v>906</v>
      </c>
      <c r="K31" s="2" t="s">
        <v>76</v>
      </c>
      <c r="L31" s="2" t="s">
        <v>907</v>
      </c>
      <c r="M31" s="2" t="s">
        <v>621</v>
      </c>
      <c r="N31" s="2" t="s">
        <v>908</v>
      </c>
      <c r="O31" s="2" t="s">
        <v>623</v>
      </c>
      <c r="P31" s="2" t="s">
        <v>909</v>
      </c>
      <c r="Q31" s="2" t="s">
        <v>176</v>
      </c>
      <c r="R31" s="2" t="s">
        <v>180</v>
      </c>
      <c r="S31" s="2" t="s">
        <v>778</v>
      </c>
      <c r="T31" s="2" t="s">
        <v>623</v>
      </c>
      <c r="U31" s="2" t="s">
        <v>910</v>
      </c>
      <c r="W31" s="2" t="str">
        <f>VLOOKUP(R31,Sheet1!$C:$D,2,0)</f>
        <v>TRANGDTH35</v>
      </c>
    </row>
    <row r="32" spans="1:23" x14ac:dyDescent="0.25">
      <c r="A32" s="2" t="s">
        <v>911</v>
      </c>
      <c r="B32" s="2" t="s">
        <v>613</v>
      </c>
      <c r="C32" s="2" t="s">
        <v>38</v>
      </c>
      <c r="D32" s="2" t="s">
        <v>912</v>
      </c>
      <c r="E32" s="2" t="s">
        <v>615</v>
      </c>
      <c r="F32" s="2" t="s">
        <v>913</v>
      </c>
      <c r="G32" s="2" t="s">
        <v>914</v>
      </c>
      <c r="H32" s="2" t="s">
        <v>618</v>
      </c>
      <c r="I32" s="2" t="s">
        <v>66</v>
      </c>
      <c r="J32" s="2" t="s">
        <v>915</v>
      </c>
      <c r="K32" s="2" t="s">
        <v>76</v>
      </c>
      <c r="L32" s="2" t="s">
        <v>916</v>
      </c>
      <c r="M32" s="2" t="s">
        <v>634</v>
      </c>
      <c r="N32" s="2" t="s">
        <v>917</v>
      </c>
      <c r="O32" s="2" t="s">
        <v>623</v>
      </c>
      <c r="P32" s="2" t="s">
        <v>918</v>
      </c>
      <c r="Q32" s="2" t="s">
        <v>69</v>
      </c>
      <c r="R32" s="2" t="s">
        <v>390</v>
      </c>
      <c r="S32" s="2" t="s">
        <v>839</v>
      </c>
      <c r="T32" s="2" t="s">
        <v>623</v>
      </c>
      <c r="U32" s="2" t="s">
        <v>919</v>
      </c>
      <c r="V32" s="2" t="s">
        <v>920</v>
      </c>
      <c r="W32" s="2" t="str">
        <f>VLOOKUP(R32,Sheet1!$C:$D,2,0)</f>
        <v>HUONGTT33</v>
      </c>
    </row>
    <row r="33" spans="1:23" x14ac:dyDescent="0.25">
      <c r="A33" s="2" t="s">
        <v>921</v>
      </c>
      <c r="B33" s="2" t="s">
        <v>613</v>
      </c>
      <c r="C33" s="2" t="s">
        <v>38</v>
      </c>
      <c r="D33" s="2" t="s">
        <v>922</v>
      </c>
      <c r="E33" s="2" t="s">
        <v>615</v>
      </c>
      <c r="F33" s="2" t="s">
        <v>662</v>
      </c>
      <c r="G33" s="2" t="s">
        <v>923</v>
      </c>
      <c r="H33" s="2" t="s">
        <v>618</v>
      </c>
      <c r="I33" s="2" t="s">
        <v>53</v>
      </c>
      <c r="J33" s="2" t="s">
        <v>924</v>
      </c>
      <c r="K33" s="2" t="s">
        <v>76</v>
      </c>
      <c r="L33" s="2" t="s">
        <v>925</v>
      </c>
      <c r="M33" s="2" t="s">
        <v>621</v>
      </c>
      <c r="N33" s="2" t="s">
        <v>926</v>
      </c>
      <c r="O33" s="2" t="s">
        <v>623</v>
      </c>
      <c r="P33" s="2" t="s">
        <v>927</v>
      </c>
      <c r="Q33" s="2" t="s">
        <v>176</v>
      </c>
      <c r="R33" s="2" t="s">
        <v>227</v>
      </c>
      <c r="S33" s="2" t="s">
        <v>760</v>
      </c>
      <c r="T33" s="2" t="s">
        <v>623</v>
      </c>
      <c r="U33" s="2" t="s">
        <v>928</v>
      </c>
      <c r="V33" s="2" t="s">
        <v>929</v>
      </c>
      <c r="W33" s="2" t="str">
        <f>VLOOKUP(R33,Sheet1!$C:$D,2,0)</f>
        <v>TRANGDTH35</v>
      </c>
    </row>
    <row r="34" spans="1:23" x14ac:dyDescent="0.25">
      <c r="A34" s="2" t="s">
        <v>930</v>
      </c>
      <c r="B34" s="2" t="s">
        <v>613</v>
      </c>
      <c r="C34" s="2" t="s">
        <v>38</v>
      </c>
      <c r="D34" s="2" t="s">
        <v>931</v>
      </c>
      <c r="E34" s="2" t="s">
        <v>615</v>
      </c>
      <c r="F34" s="2" t="s">
        <v>932</v>
      </c>
      <c r="G34" s="2" t="s">
        <v>933</v>
      </c>
      <c r="H34" s="2" t="s">
        <v>618</v>
      </c>
      <c r="I34" s="2" t="s">
        <v>53</v>
      </c>
      <c r="J34" s="2" t="s">
        <v>934</v>
      </c>
      <c r="K34" s="2" t="s">
        <v>76</v>
      </c>
      <c r="L34" s="2" t="s">
        <v>935</v>
      </c>
      <c r="M34" s="2" t="s">
        <v>621</v>
      </c>
      <c r="N34" s="2" t="s">
        <v>936</v>
      </c>
      <c r="O34" s="2" t="s">
        <v>623</v>
      </c>
      <c r="P34" s="2" t="s">
        <v>656</v>
      </c>
      <c r="Q34" s="2" t="s">
        <v>69</v>
      </c>
      <c r="R34" s="2" t="s">
        <v>102</v>
      </c>
      <c r="S34" s="2" t="s">
        <v>623</v>
      </c>
      <c r="T34" s="2" t="s">
        <v>669</v>
      </c>
      <c r="U34" s="2" t="s">
        <v>937</v>
      </c>
      <c r="V34" s="2" t="s">
        <v>938</v>
      </c>
      <c r="W34" s="2" t="str">
        <f>VLOOKUP(R34,Sheet1!$C:$D,2,0)</f>
        <v>HUONGTT33</v>
      </c>
    </row>
    <row r="35" spans="1:23" x14ac:dyDescent="0.25">
      <c r="A35" s="2" t="s">
        <v>939</v>
      </c>
      <c r="B35" s="2" t="s">
        <v>613</v>
      </c>
      <c r="C35" s="2" t="s">
        <v>38</v>
      </c>
      <c r="D35" s="2" t="s">
        <v>940</v>
      </c>
      <c r="E35" s="2" t="s">
        <v>615</v>
      </c>
      <c r="F35" s="2" t="s">
        <v>662</v>
      </c>
      <c r="G35" s="2" t="s">
        <v>941</v>
      </c>
      <c r="H35" s="2" t="s">
        <v>618</v>
      </c>
      <c r="I35" s="2" t="s">
        <v>53</v>
      </c>
      <c r="J35" s="2" t="s">
        <v>942</v>
      </c>
      <c r="K35" s="2" t="s">
        <v>76</v>
      </c>
      <c r="L35" s="2" t="s">
        <v>943</v>
      </c>
      <c r="M35" s="2" t="s">
        <v>944</v>
      </c>
      <c r="N35" s="2" t="s">
        <v>945</v>
      </c>
      <c r="O35" s="2" t="s">
        <v>623</v>
      </c>
      <c r="P35" s="2" t="s">
        <v>946</v>
      </c>
      <c r="Q35" s="2" t="s">
        <v>176</v>
      </c>
      <c r="R35" s="2" t="s">
        <v>180</v>
      </c>
      <c r="S35" s="2" t="s">
        <v>623</v>
      </c>
      <c r="T35" s="2" t="s">
        <v>669</v>
      </c>
      <c r="U35" s="2" t="s">
        <v>947</v>
      </c>
      <c r="W35" s="2" t="str">
        <f>VLOOKUP(R35,Sheet1!$C:$D,2,0)</f>
        <v>TRANGDTH35</v>
      </c>
    </row>
    <row r="36" spans="1:23" x14ac:dyDescent="0.25">
      <c r="A36" s="2" t="s">
        <v>948</v>
      </c>
      <c r="B36" s="2" t="s">
        <v>613</v>
      </c>
      <c r="C36" s="2" t="s">
        <v>38</v>
      </c>
      <c r="D36" s="2" t="s">
        <v>949</v>
      </c>
      <c r="E36" s="2" t="s">
        <v>615</v>
      </c>
      <c r="F36" s="2" t="s">
        <v>950</v>
      </c>
      <c r="G36" s="2" t="s">
        <v>951</v>
      </c>
      <c r="H36" s="2" t="s">
        <v>618</v>
      </c>
      <c r="I36" s="2" t="s">
        <v>53</v>
      </c>
      <c r="J36" s="2" t="s">
        <v>952</v>
      </c>
      <c r="K36" s="2" t="s">
        <v>76</v>
      </c>
      <c r="L36" s="2" t="s">
        <v>953</v>
      </c>
      <c r="M36" s="2" t="s">
        <v>621</v>
      </c>
      <c r="N36" s="2" t="s">
        <v>954</v>
      </c>
      <c r="O36" s="2" t="s">
        <v>623</v>
      </c>
      <c r="P36" s="2" t="s">
        <v>955</v>
      </c>
      <c r="Q36" s="2" t="s">
        <v>57</v>
      </c>
      <c r="R36" s="2" t="s">
        <v>133</v>
      </c>
      <c r="S36" s="2" t="s">
        <v>680</v>
      </c>
      <c r="T36" s="2" t="s">
        <v>623</v>
      </c>
      <c r="U36" s="2" t="s">
        <v>956</v>
      </c>
      <c r="W36" s="2" t="str">
        <f>VLOOKUP(R36,Sheet1!$C:$D,2,0)</f>
        <v>LYHK7</v>
      </c>
    </row>
    <row r="37" spans="1:23" x14ac:dyDescent="0.25">
      <c r="A37" s="2" t="s">
        <v>957</v>
      </c>
      <c r="B37" s="2" t="s">
        <v>613</v>
      </c>
      <c r="C37" s="2" t="s">
        <v>38</v>
      </c>
      <c r="D37" s="2" t="s">
        <v>958</v>
      </c>
      <c r="E37" s="2" t="s">
        <v>615</v>
      </c>
      <c r="F37" s="2" t="s">
        <v>959</v>
      </c>
      <c r="G37" s="2" t="s">
        <v>960</v>
      </c>
      <c r="H37" s="2" t="s">
        <v>618</v>
      </c>
      <c r="I37" s="2" t="s">
        <v>66</v>
      </c>
      <c r="J37" s="2" t="s">
        <v>961</v>
      </c>
      <c r="K37" s="2" t="s">
        <v>76</v>
      </c>
      <c r="L37" s="2" t="s">
        <v>962</v>
      </c>
      <c r="M37" s="2" t="s">
        <v>621</v>
      </c>
      <c r="N37" s="2" t="s">
        <v>963</v>
      </c>
      <c r="O37" s="2" t="s">
        <v>623</v>
      </c>
      <c r="P37" s="2" t="s">
        <v>964</v>
      </c>
      <c r="Q37" s="2" t="s">
        <v>81</v>
      </c>
      <c r="R37" s="2" t="s">
        <v>243</v>
      </c>
      <c r="S37" s="2" t="s">
        <v>778</v>
      </c>
      <c r="T37" s="2" t="s">
        <v>623</v>
      </c>
      <c r="U37" s="2" t="s">
        <v>965</v>
      </c>
      <c r="V37" s="2" t="s">
        <v>966</v>
      </c>
      <c r="W37" s="2" t="str">
        <f>VLOOKUP(R37,Sheet1!$C:$D,2,0)</f>
        <v>ANHHV15</v>
      </c>
    </row>
    <row r="38" spans="1:23" x14ac:dyDescent="0.25">
      <c r="A38" s="2" t="s">
        <v>967</v>
      </c>
      <c r="B38" s="2" t="s">
        <v>613</v>
      </c>
      <c r="C38" s="2" t="s">
        <v>38</v>
      </c>
      <c r="D38" s="2" t="s">
        <v>968</v>
      </c>
      <c r="E38" s="2" t="s">
        <v>615</v>
      </c>
      <c r="F38" s="2" t="s">
        <v>246</v>
      </c>
      <c r="G38" s="2" t="s">
        <v>969</v>
      </c>
      <c r="H38" s="2" t="s">
        <v>618</v>
      </c>
      <c r="I38" s="2" t="s">
        <v>66</v>
      </c>
      <c r="J38" s="2" t="s">
        <v>970</v>
      </c>
      <c r="K38" s="2" t="s">
        <v>76</v>
      </c>
      <c r="L38" s="2" t="s">
        <v>971</v>
      </c>
      <c r="M38" s="2" t="s">
        <v>666</v>
      </c>
      <c r="N38" s="2" t="s">
        <v>972</v>
      </c>
      <c r="O38" s="2" t="s">
        <v>623</v>
      </c>
      <c r="P38" s="2" t="s">
        <v>973</v>
      </c>
      <c r="Q38" s="2" t="s">
        <v>136</v>
      </c>
      <c r="R38" s="2" t="s">
        <v>208</v>
      </c>
      <c r="S38" s="2" t="s">
        <v>829</v>
      </c>
      <c r="T38" s="2" t="s">
        <v>623</v>
      </c>
      <c r="U38" s="2" t="s">
        <v>974</v>
      </c>
      <c r="W38" s="2" t="str">
        <f>VLOOKUP(R38,Sheet1!$C:$D,2,0)</f>
        <v>TAMVTT5</v>
      </c>
    </row>
    <row r="39" spans="1:23" x14ac:dyDescent="0.25">
      <c r="A39" s="2" t="s">
        <v>975</v>
      </c>
      <c r="B39" s="2" t="s">
        <v>613</v>
      </c>
      <c r="C39" s="2" t="s">
        <v>38</v>
      </c>
      <c r="D39" s="2" t="s">
        <v>976</v>
      </c>
      <c r="E39" s="2" t="s">
        <v>615</v>
      </c>
      <c r="F39" s="2" t="s">
        <v>685</v>
      </c>
      <c r="G39" s="2" t="s">
        <v>977</v>
      </c>
      <c r="H39" s="2" t="s">
        <v>618</v>
      </c>
      <c r="I39" s="2" t="s">
        <v>66</v>
      </c>
      <c r="J39" s="2" t="s">
        <v>978</v>
      </c>
      <c r="K39" s="2" t="s">
        <v>76</v>
      </c>
      <c r="L39" s="2" t="s">
        <v>979</v>
      </c>
      <c r="M39" s="2" t="s">
        <v>634</v>
      </c>
      <c r="N39" s="2" t="s">
        <v>980</v>
      </c>
      <c r="O39" s="2" t="s">
        <v>623</v>
      </c>
      <c r="P39" s="2" t="s">
        <v>981</v>
      </c>
      <c r="Q39" s="2" t="s">
        <v>40</v>
      </c>
      <c r="R39" s="2" t="s">
        <v>48</v>
      </c>
      <c r="S39" s="2" t="s">
        <v>669</v>
      </c>
      <c r="T39" s="2" t="s">
        <v>623</v>
      </c>
      <c r="U39" s="2" t="s">
        <v>982</v>
      </c>
      <c r="V39" s="2" t="s">
        <v>983</v>
      </c>
      <c r="W39" s="2" t="str">
        <f>VLOOKUP(R39,Sheet1!$C:$D,2,0)</f>
        <v>TRANGHT28</v>
      </c>
    </row>
    <row r="40" spans="1:23" x14ac:dyDescent="0.25">
      <c r="A40" s="2" t="s">
        <v>984</v>
      </c>
      <c r="B40" s="2" t="s">
        <v>613</v>
      </c>
      <c r="C40" s="2" t="s">
        <v>38</v>
      </c>
      <c r="D40" s="2" t="s">
        <v>985</v>
      </c>
      <c r="E40" s="2" t="s">
        <v>615</v>
      </c>
      <c r="F40" s="2" t="s">
        <v>986</v>
      </c>
      <c r="G40" s="2" t="s">
        <v>987</v>
      </c>
      <c r="H40" s="2" t="s">
        <v>618</v>
      </c>
      <c r="I40" s="2" t="s">
        <v>698</v>
      </c>
      <c r="J40" s="2" t="s">
        <v>988</v>
      </c>
      <c r="K40" s="2" t="s">
        <v>76</v>
      </c>
      <c r="L40" s="2" t="s">
        <v>989</v>
      </c>
      <c r="M40" s="2" t="s">
        <v>621</v>
      </c>
      <c r="N40" s="2" t="s">
        <v>990</v>
      </c>
      <c r="O40" s="2" t="s">
        <v>623</v>
      </c>
      <c r="P40" s="2" t="s">
        <v>741</v>
      </c>
      <c r="Q40" s="2" t="s">
        <v>121</v>
      </c>
      <c r="R40" s="2" t="s">
        <v>379</v>
      </c>
      <c r="S40" s="2" t="s">
        <v>669</v>
      </c>
      <c r="T40" s="2" t="s">
        <v>623</v>
      </c>
      <c r="U40" s="2" t="s">
        <v>991</v>
      </c>
      <c r="V40" s="2" t="s">
        <v>992</v>
      </c>
      <c r="W40" s="2" t="str">
        <f>VLOOKUP(R40,Sheet1!$C:$D,2,0)</f>
        <v>HUONGTT33</v>
      </c>
    </row>
    <row r="41" spans="1:23" x14ac:dyDescent="0.25">
      <c r="A41" s="2" t="s">
        <v>993</v>
      </c>
      <c r="B41" s="2" t="s">
        <v>613</v>
      </c>
      <c r="C41" s="2" t="s">
        <v>38</v>
      </c>
      <c r="D41" s="2" t="s">
        <v>994</v>
      </c>
      <c r="E41" s="2" t="s">
        <v>615</v>
      </c>
      <c r="F41" s="2" t="s">
        <v>995</v>
      </c>
      <c r="G41" s="2" t="s">
        <v>996</v>
      </c>
      <c r="H41" s="2" t="s">
        <v>618</v>
      </c>
      <c r="I41" s="2" t="s">
        <v>53</v>
      </c>
      <c r="J41" s="2" t="s">
        <v>997</v>
      </c>
      <c r="K41" s="2" t="s">
        <v>76</v>
      </c>
      <c r="L41" s="2" t="s">
        <v>998</v>
      </c>
      <c r="M41" s="2" t="s">
        <v>621</v>
      </c>
      <c r="N41" s="2" t="s">
        <v>999</v>
      </c>
      <c r="O41" s="2" t="s">
        <v>623</v>
      </c>
      <c r="P41" s="2" t="s">
        <v>1000</v>
      </c>
      <c r="Q41" s="2" t="s">
        <v>246</v>
      </c>
      <c r="R41" s="2" t="s">
        <v>355</v>
      </c>
      <c r="S41" s="2" t="s">
        <v>778</v>
      </c>
      <c r="T41" s="2" t="s">
        <v>623</v>
      </c>
      <c r="U41" s="2" t="s">
        <v>1001</v>
      </c>
      <c r="W41" s="2" t="str">
        <f>VLOOKUP(R41,Sheet1!$C:$D,2,0)</f>
        <v>LYHK7</v>
      </c>
    </row>
    <row r="42" spans="1:23" x14ac:dyDescent="0.25">
      <c r="A42" s="2" t="s">
        <v>1002</v>
      </c>
      <c r="B42" s="2" t="s">
        <v>613</v>
      </c>
      <c r="C42" s="2" t="s">
        <v>38</v>
      </c>
      <c r="D42" s="2" t="s">
        <v>1003</v>
      </c>
      <c r="E42" s="2" t="s">
        <v>615</v>
      </c>
      <c r="F42" s="2" t="s">
        <v>986</v>
      </c>
      <c r="G42" s="2" t="s">
        <v>1004</v>
      </c>
      <c r="H42" s="2" t="s">
        <v>618</v>
      </c>
      <c r="I42" s="2" t="s">
        <v>53</v>
      </c>
      <c r="J42" s="2" t="s">
        <v>1005</v>
      </c>
      <c r="K42" s="2" t="s">
        <v>76</v>
      </c>
      <c r="L42" s="2" t="s">
        <v>1006</v>
      </c>
      <c r="M42" s="2" t="s">
        <v>621</v>
      </c>
      <c r="N42" s="2" t="s">
        <v>990</v>
      </c>
      <c r="O42" s="2" t="s">
        <v>623</v>
      </c>
      <c r="P42" s="2" t="s">
        <v>1007</v>
      </c>
      <c r="Q42" s="2" t="s">
        <v>121</v>
      </c>
      <c r="R42" s="2" t="s">
        <v>527</v>
      </c>
      <c r="S42" s="2" t="s">
        <v>623</v>
      </c>
      <c r="T42" s="2" t="s">
        <v>669</v>
      </c>
      <c r="U42" s="2" t="s">
        <v>1008</v>
      </c>
      <c r="V42" s="2" t="s">
        <v>1009</v>
      </c>
      <c r="W42" s="2" t="str">
        <f>VLOOKUP(R42,Sheet1!$C:$D,2,0)</f>
        <v>HUONGTT33</v>
      </c>
    </row>
    <row r="43" spans="1:23" x14ac:dyDescent="0.25">
      <c r="A43" s="2" t="s">
        <v>1010</v>
      </c>
      <c r="B43" s="2" t="s">
        <v>613</v>
      </c>
      <c r="C43" s="2" t="s">
        <v>38</v>
      </c>
      <c r="D43" s="2" t="s">
        <v>1011</v>
      </c>
      <c r="E43" s="2" t="s">
        <v>615</v>
      </c>
      <c r="F43" s="2" t="s">
        <v>1012</v>
      </c>
      <c r="G43" s="2" t="s">
        <v>1013</v>
      </c>
      <c r="H43" s="2" t="s">
        <v>618</v>
      </c>
      <c r="I43" s="2" t="s">
        <v>66</v>
      </c>
      <c r="J43" s="2" t="s">
        <v>1014</v>
      </c>
      <c r="K43" s="2" t="s">
        <v>76</v>
      </c>
      <c r="L43" s="2" t="s">
        <v>1015</v>
      </c>
      <c r="M43" s="2" t="s">
        <v>621</v>
      </c>
      <c r="N43" s="2" t="s">
        <v>1016</v>
      </c>
      <c r="O43" s="2" t="s">
        <v>623</v>
      </c>
      <c r="P43" s="2" t="s">
        <v>702</v>
      </c>
      <c r="Q43" s="2" t="s">
        <v>150</v>
      </c>
      <c r="R43" s="2" t="s">
        <v>290</v>
      </c>
      <c r="S43" s="2" t="s">
        <v>669</v>
      </c>
      <c r="T43" s="2" t="s">
        <v>623</v>
      </c>
      <c r="U43" s="2" t="s">
        <v>1017</v>
      </c>
      <c r="W43" s="2" t="str">
        <f>VLOOKUP(R43,Sheet1!$C:$D,2,0)</f>
        <v>UYENHT15</v>
      </c>
    </row>
    <row r="44" spans="1:23" x14ac:dyDescent="0.25">
      <c r="A44" s="2" t="s">
        <v>1018</v>
      </c>
      <c r="B44" s="2" t="s">
        <v>613</v>
      </c>
      <c r="C44" s="2" t="s">
        <v>38</v>
      </c>
      <c r="D44" s="2" t="s">
        <v>1019</v>
      </c>
      <c r="E44" s="2" t="s">
        <v>615</v>
      </c>
      <c r="F44" s="2" t="s">
        <v>674</v>
      </c>
      <c r="G44" s="2" t="s">
        <v>1020</v>
      </c>
      <c r="H44" s="2" t="s">
        <v>618</v>
      </c>
      <c r="I44" s="2" t="s">
        <v>53</v>
      </c>
      <c r="J44" s="2" t="s">
        <v>1021</v>
      </c>
      <c r="K44" s="2" t="s">
        <v>76</v>
      </c>
      <c r="L44" s="2" t="s">
        <v>1022</v>
      </c>
      <c r="M44" s="2" t="s">
        <v>621</v>
      </c>
      <c r="N44" s="2" t="s">
        <v>1023</v>
      </c>
      <c r="O44" s="2" t="s">
        <v>623</v>
      </c>
      <c r="P44" s="2" t="s">
        <v>656</v>
      </c>
      <c r="Q44" s="2" t="s">
        <v>121</v>
      </c>
      <c r="R44" s="2" t="s">
        <v>126</v>
      </c>
      <c r="S44" s="2" t="s">
        <v>647</v>
      </c>
      <c r="T44" s="2" t="s">
        <v>623</v>
      </c>
      <c r="U44" s="2" t="s">
        <v>1024</v>
      </c>
      <c r="V44" s="2" t="s">
        <v>1025</v>
      </c>
      <c r="W44" s="2" t="str">
        <f>VLOOKUP(R44,Sheet1!$C:$D,2,0)</f>
        <v>UYENHT15</v>
      </c>
    </row>
    <row r="45" spans="1:23" x14ac:dyDescent="0.25">
      <c r="A45" s="2" t="s">
        <v>1026</v>
      </c>
      <c r="B45" s="2" t="s">
        <v>613</v>
      </c>
      <c r="C45" s="2" t="s">
        <v>38</v>
      </c>
      <c r="D45" s="2" t="s">
        <v>1027</v>
      </c>
      <c r="E45" s="2" t="s">
        <v>615</v>
      </c>
      <c r="F45" s="2" t="s">
        <v>986</v>
      </c>
      <c r="G45" s="2" t="s">
        <v>1028</v>
      </c>
      <c r="H45" s="2" t="s">
        <v>618</v>
      </c>
      <c r="I45" s="2" t="s">
        <v>53</v>
      </c>
      <c r="J45" s="2" t="s">
        <v>1029</v>
      </c>
      <c r="K45" s="2" t="s">
        <v>76</v>
      </c>
      <c r="L45" s="2" t="s">
        <v>1030</v>
      </c>
      <c r="M45" s="2" t="s">
        <v>621</v>
      </c>
      <c r="N45" s="2" t="s">
        <v>990</v>
      </c>
      <c r="O45" s="2" t="s">
        <v>623</v>
      </c>
      <c r="P45" s="2" t="s">
        <v>1031</v>
      </c>
      <c r="Q45" s="2" t="s">
        <v>121</v>
      </c>
      <c r="R45" s="2" t="s">
        <v>379</v>
      </c>
      <c r="S45" s="2" t="s">
        <v>760</v>
      </c>
      <c r="T45" s="2" t="s">
        <v>623</v>
      </c>
      <c r="U45" s="2" t="s">
        <v>1032</v>
      </c>
      <c r="V45" s="2" t="s">
        <v>1033</v>
      </c>
      <c r="W45" s="2" t="str">
        <f>VLOOKUP(R45,Sheet1!$C:$D,2,0)</f>
        <v>HUONGTT33</v>
      </c>
    </row>
    <row r="46" spans="1:23" x14ac:dyDescent="0.25">
      <c r="A46" s="2" t="s">
        <v>1034</v>
      </c>
      <c r="B46" s="2" t="s">
        <v>613</v>
      </c>
      <c r="C46" s="2" t="s">
        <v>38</v>
      </c>
      <c r="D46" s="2" t="s">
        <v>1035</v>
      </c>
      <c r="E46" s="2" t="s">
        <v>615</v>
      </c>
      <c r="F46" s="2" t="s">
        <v>121</v>
      </c>
      <c r="G46" s="2" t="s">
        <v>1036</v>
      </c>
      <c r="H46" s="2" t="s">
        <v>618</v>
      </c>
      <c r="I46" s="2" t="s">
        <v>53</v>
      </c>
      <c r="J46" s="2" t="s">
        <v>1037</v>
      </c>
      <c r="K46" s="2" t="s">
        <v>76</v>
      </c>
      <c r="L46" s="2" t="s">
        <v>1038</v>
      </c>
      <c r="M46" s="2" t="s">
        <v>621</v>
      </c>
      <c r="N46" s="2" t="s">
        <v>1039</v>
      </c>
      <c r="O46" s="2" t="s">
        <v>623</v>
      </c>
      <c r="P46" s="2" t="s">
        <v>900</v>
      </c>
      <c r="Q46" s="2" t="s">
        <v>121</v>
      </c>
      <c r="R46" s="2" t="s">
        <v>379</v>
      </c>
      <c r="S46" s="2" t="s">
        <v>669</v>
      </c>
      <c r="T46" s="2" t="s">
        <v>623</v>
      </c>
      <c r="U46" s="2" t="s">
        <v>1040</v>
      </c>
      <c r="V46" s="2" t="s">
        <v>1041</v>
      </c>
      <c r="W46" s="2" t="str">
        <f>VLOOKUP(R46,Sheet1!$C:$D,2,0)</f>
        <v>HUONGTT33</v>
      </c>
    </row>
    <row r="47" spans="1:23" x14ac:dyDescent="0.25">
      <c r="A47" s="2" t="s">
        <v>1042</v>
      </c>
      <c r="B47" s="2" t="s">
        <v>613</v>
      </c>
      <c r="C47" s="2" t="s">
        <v>38</v>
      </c>
      <c r="D47" s="2" t="s">
        <v>1043</v>
      </c>
      <c r="E47" s="2" t="s">
        <v>615</v>
      </c>
      <c r="F47" s="2" t="s">
        <v>1044</v>
      </c>
      <c r="G47" s="2" t="s">
        <v>1045</v>
      </c>
      <c r="H47" s="2" t="s">
        <v>618</v>
      </c>
      <c r="I47" s="2" t="s">
        <v>53</v>
      </c>
      <c r="J47" s="2" t="s">
        <v>1046</v>
      </c>
      <c r="K47" s="2" t="s">
        <v>632</v>
      </c>
      <c r="L47" s="2" t="s">
        <v>1047</v>
      </c>
      <c r="M47" s="2" t="s">
        <v>621</v>
      </c>
      <c r="N47" s="2" t="s">
        <v>1048</v>
      </c>
      <c r="O47" s="2" t="s">
        <v>623</v>
      </c>
      <c r="P47" s="2" t="s">
        <v>1049</v>
      </c>
      <c r="Q47" s="2" t="s">
        <v>150</v>
      </c>
      <c r="R47" s="2" t="s">
        <v>290</v>
      </c>
      <c r="S47" s="2" t="s">
        <v>798</v>
      </c>
      <c r="T47" s="2" t="s">
        <v>623</v>
      </c>
      <c r="U47" s="2" t="s">
        <v>1050</v>
      </c>
      <c r="V47" s="2" t="s">
        <v>1051</v>
      </c>
      <c r="W47" s="2" t="str">
        <f>VLOOKUP(R47,Sheet1!$C:$D,2,0)</f>
        <v>UYENHT15</v>
      </c>
    </row>
    <row r="48" spans="1:23" x14ac:dyDescent="0.25">
      <c r="A48" s="2" t="s">
        <v>1052</v>
      </c>
      <c r="B48" s="2" t="s">
        <v>613</v>
      </c>
      <c r="C48" s="2" t="s">
        <v>38</v>
      </c>
      <c r="D48" s="2" t="s">
        <v>1053</v>
      </c>
      <c r="E48" s="2" t="s">
        <v>615</v>
      </c>
      <c r="F48" s="2" t="s">
        <v>696</v>
      </c>
      <c r="G48" s="2" t="s">
        <v>1054</v>
      </c>
      <c r="H48" s="2" t="s">
        <v>618</v>
      </c>
      <c r="I48" s="2" t="s">
        <v>66</v>
      </c>
      <c r="J48" s="2" t="s">
        <v>1055</v>
      </c>
      <c r="K48" s="2" t="s">
        <v>76</v>
      </c>
      <c r="L48" s="2" t="s">
        <v>1056</v>
      </c>
      <c r="M48" s="2" t="s">
        <v>621</v>
      </c>
      <c r="N48" s="2" t="s">
        <v>1057</v>
      </c>
      <c r="O48" s="2" t="s">
        <v>623</v>
      </c>
      <c r="P48" s="2" t="s">
        <v>1058</v>
      </c>
      <c r="Q48" s="2" t="s">
        <v>150</v>
      </c>
      <c r="R48" s="2" t="s">
        <v>167</v>
      </c>
      <c r="S48" s="2" t="s">
        <v>1059</v>
      </c>
      <c r="T48" s="2" t="s">
        <v>623</v>
      </c>
      <c r="U48" s="2" t="s">
        <v>1060</v>
      </c>
      <c r="W48" s="2" t="str">
        <f>VLOOKUP(R48,Sheet1!$C:$D,2,0)</f>
        <v>UYENHT15</v>
      </c>
    </row>
    <row r="49" spans="1:23" x14ac:dyDescent="0.25">
      <c r="A49" s="2" t="s">
        <v>1061</v>
      </c>
      <c r="B49" s="2" t="s">
        <v>613</v>
      </c>
      <c r="C49" s="2" t="s">
        <v>38</v>
      </c>
      <c r="D49" s="2" t="s">
        <v>1062</v>
      </c>
      <c r="E49" s="2" t="s">
        <v>615</v>
      </c>
      <c r="F49" s="2" t="s">
        <v>861</v>
      </c>
      <c r="G49" s="2" t="s">
        <v>1063</v>
      </c>
      <c r="H49" s="2" t="s">
        <v>618</v>
      </c>
      <c r="I49" s="2" t="s">
        <v>53</v>
      </c>
      <c r="J49" s="2" t="s">
        <v>1064</v>
      </c>
      <c r="K49" s="2" t="s">
        <v>643</v>
      </c>
      <c r="L49" s="2" t="s">
        <v>1065</v>
      </c>
      <c r="M49" s="2" t="s">
        <v>621</v>
      </c>
      <c r="N49" s="2" t="s">
        <v>1066</v>
      </c>
      <c r="O49" s="2" t="s">
        <v>623</v>
      </c>
      <c r="P49" s="2" t="s">
        <v>1067</v>
      </c>
      <c r="Q49" s="2" t="s">
        <v>69</v>
      </c>
      <c r="R49" s="2" t="s">
        <v>102</v>
      </c>
      <c r="S49" s="2" t="s">
        <v>829</v>
      </c>
      <c r="T49" s="2" t="s">
        <v>623</v>
      </c>
      <c r="U49" s="2" t="s">
        <v>1068</v>
      </c>
      <c r="W49" s="2" t="str">
        <f>VLOOKUP(R49,Sheet1!$C:$D,2,0)</f>
        <v>HUONGTT33</v>
      </c>
    </row>
    <row r="50" spans="1:23" x14ac:dyDescent="0.25">
      <c r="A50" s="2" t="s">
        <v>1069</v>
      </c>
      <c r="B50" s="2" t="s">
        <v>613</v>
      </c>
      <c r="C50" s="2" t="s">
        <v>38</v>
      </c>
      <c r="D50" s="2" t="s">
        <v>1070</v>
      </c>
      <c r="E50" s="2" t="s">
        <v>615</v>
      </c>
      <c r="F50" s="2" t="s">
        <v>861</v>
      </c>
      <c r="G50" s="2" t="s">
        <v>1071</v>
      </c>
      <c r="H50" s="2" t="s">
        <v>1072</v>
      </c>
      <c r="I50" s="2" t="s">
        <v>53</v>
      </c>
      <c r="J50" s="2" t="s">
        <v>1073</v>
      </c>
      <c r="K50" s="2" t="s">
        <v>76</v>
      </c>
      <c r="L50" s="2" t="s">
        <v>1074</v>
      </c>
      <c r="M50" s="2" t="s">
        <v>666</v>
      </c>
      <c r="N50" s="2" t="s">
        <v>1075</v>
      </c>
      <c r="O50" s="2" t="s">
        <v>623</v>
      </c>
      <c r="P50" s="2" t="s">
        <v>1076</v>
      </c>
      <c r="Q50" s="2" t="s">
        <v>69</v>
      </c>
      <c r="R50" s="2" t="s">
        <v>390</v>
      </c>
      <c r="S50" s="2" t="s">
        <v>829</v>
      </c>
      <c r="T50" s="2" t="s">
        <v>623</v>
      </c>
      <c r="U50" s="2" t="s">
        <v>1077</v>
      </c>
      <c r="V50" s="2" t="s">
        <v>1078</v>
      </c>
      <c r="W50" s="2" t="str">
        <f>VLOOKUP(R50,Sheet1!$C:$D,2,0)</f>
        <v>HUONGTT33</v>
      </c>
    </row>
    <row r="51" spans="1:23" x14ac:dyDescent="0.25">
      <c r="A51" s="2" t="s">
        <v>1079</v>
      </c>
      <c r="B51" s="2" t="s">
        <v>613</v>
      </c>
      <c r="C51" s="2" t="s">
        <v>38</v>
      </c>
      <c r="D51" s="2" t="s">
        <v>1080</v>
      </c>
      <c r="E51" s="2" t="s">
        <v>615</v>
      </c>
      <c r="F51" s="2" t="s">
        <v>717</v>
      </c>
      <c r="G51" s="2" t="s">
        <v>1081</v>
      </c>
      <c r="H51" s="2" t="s">
        <v>618</v>
      </c>
      <c r="I51" s="2" t="s">
        <v>53</v>
      </c>
      <c r="J51" s="2" t="s">
        <v>1082</v>
      </c>
      <c r="K51" s="2" t="s">
        <v>76</v>
      </c>
      <c r="L51" s="2" t="s">
        <v>1083</v>
      </c>
      <c r="M51" s="2" t="s">
        <v>621</v>
      </c>
      <c r="N51" s="2" t="s">
        <v>1084</v>
      </c>
      <c r="O51" s="2" t="s">
        <v>623</v>
      </c>
      <c r="P51" s="2" t="s">
        <v>1085</v>
      </c>
      <c r="Q51" s="2" t="s">
        <v>259</v>
      </c>
      <c r="R51" s="2" t="s">
        <v>374</v>
      </c>
      <c r="S51" s="2" t="s">
        <v>669</v>
      </c>
      <c r="T51" s="2" t="s">
        <v>623</v>
      </c>
      <c r="U51" s="2" t="s">
        <v>1086</v>
      </c>
      <c r="V51" s="2" t="s">
        <v>1087</v>
      </c>
      <c r="W51" s="2" t="str">
        <f>VLOOKUP(R51,Sheet1!$C:$D,2,0)</f>
        <v>HUONGTT33</v>
      </c>
    </row>
    <row r="52" spans="1:23" x14ac:dyDescent="0.25">
      <c r="A52" s="2" t="s">
        <v>1088</v>
      </c>
      <c r="B52" s="2" t="s">
        <v>613</v>
      </c>
      <c r="C52" s="2" t="s">
        <v>38</v>
      </c>
      <c r="D52" s="2" t="s">
        <v>1089</v>
      </c>
      <c r="E52" s="2" t="s">
        <v>615</v>
      </c>
      <c r="F52" s="2" t="s">
        <v>1090</v>
      </c>
      <c r="G52" s="2" t="s">
        <v>1091</v>
      </c>
      <c r="H52" s="2" t="s">
        <v>618</v>
      </c>
      <c r="I52" s="2" t="s">
        <v>66</v>
      </c>
      <c r="J52" s="2" t="s">
        <v>1092</v>
      </c>
      <c r="K52" s="2" t="s">
        <v>76</v>
      </c>
      <c r="L52" s="2" t="s">
        <v>1093</v>
      </c>
      <c r="M52" s="2" t="s">
        <v>621</v>
      </c>
      <c r="N52" s="2" t="s">
        <v>1094</v>
      </c>
      <c r="O52" s="2" t="s">
        <v>623</v>
      </c>
      <c r="P52" s="2" t="s">
        <v>1095</v>
      </c>
      <c r="Q52" s="2" t="s">
        <v>246</v>
      </c>
      <c r="R52" s="2" t="s">
        <v>347</v>
      </c>
      <c r="S52" s="2" t="s">
        <v>829</v>
      </c>
      <c r="T52" s="2" t="s">
        <v>623</v>
      </c>
      <c r="U52" s="2" t="s">
        <v>1096</v>
      </c>
      <c r="W52" s="2" t="str">
        <f>VLOOKUP(R52,Sheet1!$C:$D,2,0)</f>
        <v>TQG.HANGVTT12</v>
      </c>
    </row>
    <row r="53" spans="1:23" x14ac:dyDescent="0.25">
      <c r="A53" s="2" t="s">
        <v>1097</v>
      </c>
      <c r="B53" s="2" t="s">
        <v>613</v>
      </c>
      <c r="C53" s="2" t="s">
        <v>38</v>
      </c>
      <c r="D53" s="2" t="s">
        <v>1098</v>
      </c>
      <c r="E53" s="2" t="s">
        <v>615</v>
      </c>
      <c r="F53" s="2" t="s">
        <v>1099</v>
      </c>
      <c r="G53" s="2" t="s">
        <v>1100</v>
      </c>
      <c r="H53" s="2" t="s">
        <v>618</v>
      </c>
      <c r="I53" s="2" t="s">
        <v>53</v>
      </c>
      <c r="J53" s="2" t="s">
        <v>1101</v>
      </c>
      <c r="K53" s="2" t="s">
        <v>76</v>
      </c>
      <c r="L53" s="2" t="s">
        <v>1102</v>
      </c>
      <c r="M53" s="2" t="s">
        <v>634</v>
      </c>
      <c r="N53" s="2" t="s">
        <v>1103</v>
      </c>
      <c r="O53" s="2" t="s">
        <v>623</v>
      </c>
      <c r="P53" s="2" t="s">
        <v>1104</v>
      </c>
      <c r="Q53" s="2" t="s">
        <v>246</v>
      </c>
      <c r="R53" s="2" t="s">
        <v>250</v>
      </c>
      <c r="S53" s="2" t="s">
        <v>848</v>
      </c>
      <c r="T53" s="2" t="s">
        <v>623</v>
      </c>
      <c r="U53" s="2" t="s">
        <v>1105</v>
      </c>
      <c r="W53" s="2" t="str">
        <f>VLOOKUP(R53,Sheet1!$C:$D,2,0)</f>
        <v>TQG.HANGVTT12</v>
      </c>
    </row>
    <row r="54" spans="1:23" x14ac:dyDescent="0.25">
      <c r="A54" s="2" t="s">
        <v>1106</v>
      </c>
      <c r="B54" s="2" t="s">
        <v>613</v>
      </c>
      <c r="C54" s="2" t="s">
        <v>38</v>
      </c>
      <c r="D54" s="2" t="s">
        <v>1107</v>
      </c>
      <c r="E54" s="2" t="s">
        <v>615</v>
      </c>
      <c r="F54" s="2" t="s">
        <v>852</v>
      </c>
      <c r="G54" s="2" t="s">
        <v>1108</v>
      </c>
      <c r="H54" s="2" t="s">
        <v>618</v>
      </c>
      <c r="I54" s="2" t="s">
        <v>53</v>
      </c>
      <c r="J54" s="2" t="s">
        <v>1109</v>
      </c>
      <c r="K54" s="2" t="s">
        <v>76</v>
      </c>
      <c r="L54" s="2" t="s">
        <v>1110</v>
      </c>
      <c r="M54" s="2" t="s">
        <v>621</v>
      </c>
      <c r="N54" s="2" t="s">
        <v>1111</v>
      </c>
      <c r="O54" s="2" t="s">
        <v>623</v>
      </c>
      <c r="P54" s="2" t="s">
        <v>1112</v>
      </c>
      <c r="Q54" s="2" t="s">
        <v>259</v>
      </c>
      <c r="R54" s="2" t="s">
        <v>374</v>
      </c>
      <c r="S54" s="2" t="s">
        <v>623</v>
      </c>
      <c r="T54" s="2" t="s">
        <v>669</v>
      </c>
      <c r="U54" s="2" t="s">
        <v>1113</v>
      </c>
      <c r="V54" s="2" t="s">
        <v>1114</v>
      </c>
      <c r="W54" s="2" t="str">
        <f>VLOOKUP(R54,Sheet1!$C:$D,2,0)</f>
        <v>HUONGTT33</v>
      </c>
    </row>
    <row r="55" spans="1:23" x14ac:dyDescent="0.25">
      <c r="A55" s="2" t="s">
        <v>1115</v>
      </c>
      <c r="B55" s="2" t="s">
        <v>613</v>
      </c>
      <c r="C55" s="2" t="s">
        <v>38</v>
      </c>
      <c r="D55" s="2" t="s">
        <v>1116</v>
      </c>
      <c r="E55" s="2" t="s">
        <v>615</v>
      </c>
      <c r="F55" s="2" t="s">
        <v>1117</v>
      </c>
      <c r="G55" s="2" t="s">
        <v>1118</v>
      </c>
      <c r="H55" s="2" t="s">
        <v>618</v>
      </c>
      <c r="I55" s="2" t="s">
        <v>53</v>
      </c>
      <c r="J55" s="2" t="s">
        <v>1119</v>
      </c>
      <c r="K55" s="2" t="s">
        <v>76</v>
      </c>
      <c r="L55" s="2" t="s">
        <v>1120</v>
      </c>
      <c r="M55" s="2" t="s">
        <v>621</v>
      </c>
      <c r="N55" s="2" t="s">
        <v>1121</v>
      </c>
      <c r="O55" s="2" t="s">
        <v>623</v>
      </c>
      <c r="P55" s="2" t="s">
        <v>1122</v>
      </c>
      <c r="Q55" s="2" t="s">
        <v>259</v>
      </c>
      <c r="R55" s="2" t="s">
        <v>475</v>
      </c>
      <c r="S55" s="2" t="s">
        <v>1123</v>
      </c>
      <c r="T55" s="2" t="s">
        <v>623</v>
      </c>
      <c r="U55" s="2" t="s">
        <v>1124</v>
      </c>
      <c r="V55" s="2" t="s">
        <v>1125</v>
      </c>
      <c r="W55" s="2" t="str">
        <f>VLOOKUP(R55,Sheet1!$C:$D,2,0)</f>
        <v>LYHK7</v>
      </c>
    </row>
    <row r="56" spans="1:23" x14ac:dyDescent="0.25">
      <c r="A56" s="2" t="s">
        <v>1126</v>
      </c>
      <c r="B56" s="2" t="s">
        <v>613</v>
      </c>
      <c r="C56" s="2" t="s">
        <v>38</v>
      </c>
      <c r="D56" s="2" t="s">
        <v>1127</v>
      </c>
      <c r="E56" s="2" t="s">
        <v>615</v>
      </c>
      <c r="F56" s="2" t="s">
        <v>651</v>
      </c>
      <c r="G56" s="2" t="s">
        <v>1128</v>
      </c>
      <c r="H56" s="2" t="s">
        <v>618</v>
      </c>
      <c r="I56" s="2" t="s">
        <v>53</v>
      </c>
      <c r="J56" s="2" t="s">
        <v>1129</v>
      </c>
      <c r="K56" s="2" t="s">
        <v>76</v>
      </c>
      <c r="L56" s="2" t="s">
        <v>1130</v>
      </c>
      <c r="M56" s="2" t="s">
        <v>621</v>
      </c>
      <c r="N56" s="2" t="s">
        <v>847</v>
      </c>
      <c r="O56" s="2" t="s">
        <v>623</v>
      </c>
      <c r="P56" s="2" t="s">
        <v>1131</v>
      </c>
      <c r="Q56" s="2" t="s">
        <v>176</v>
      </c>
      <c r="R56" s="2" t="s">
        <v>180</v>
      </c>
      <c r="S56" s="2" t="s">
        <v>829</v>
      </c>
      <c r="T56" s="2" t="s">
        <v>623</v>
      </c>
      <c r="U56" s="2" t="s">
        <v>1132</v>
      </c>
      <c r="W56" s="2" t="str">
        <f>VLOOKUP(R56,Sheet1!$C:$D,2,0)</f>
        <v>TRANGDTH35</v>
      </c>
    </row>
    <row r="57" spans="1:23" x14ac:dyDescent="0.25">
      <c r="A57" s="2" t="s">
        <v>1133</v>
      </c>
      <c r="B57" s="2" t="s">
        <v>613</v>
      </c>
      <c r="C57" s="2" t="s">
        <v>38</v>
      </c>
      <c r="D57" s="2" t="s">
        <v>1134</v>
      </c>
      <c r="E57" s="2" t="s">
        <v>615</v>
      </c>
      <c r="F57" s="2" t="s">
        <v>950</v>
      </c>
      <c r="G57" s="2" t="s">
        <v>1135</v>
      </c>
      <c r="H57" s="2" t="s">
        <v>618</v>
      </c>
      <c r="I57" s="2" t="s">
        <v>53</v>
      </c>
      <c r="J57" s="2" t="s">
        <v>1136</v>
      </c>
      <c r="K57" s="2" t="s">
        <v>76</v>
      </c>
      <c r="L57" s="2" t="s">
        <v>1137</v>
      </c>
      <c r="M57" s="2" t="s">
        <v>621</v>
      </c>
      <c r="N57" s="2" t="s">
        <v>1138</v>
      </c>
      <c r="O57" s="2" t="s">
        <v>623</v>
      </c>
      <c r="P57" s="2" t="s">
        <v>679</v>
      </c>
      <c r="Q57" s="2" t="s">
        <v>57</v>
      </c>
      <c r="R57" s="2" t="s">
        <v>133</v>
      </c>
      <c r="S57" s="2" t="s">
        <v>829</v>
      </c>
      <c r="T57" s="2" t="s">
        <v>623</v>
      </c>
      <c r="U57" s="2" t="s">
        <v>1139</v>
      </c>
      <c r="W57" s="2" t="str">
        <f>VLOOKUP(R57,Sheet1!$C:$D,2,0)</f>
        <v>LYHK7</v>
      </c>
    </row>
    <row r="58" spans="1:23" x14ac:dyDescent="0.25">
      <c r="A58" s="2" t="s">
        <v>1140</v>
      </c>
      <c r="B58" s="2" t="s">
        <v>613</v>
      </c>
      <c r="C58" s="2" t="s">
        <v>38</v>
      </c>
      <c r="D58" s="2" t="s">
        <v>1141</v>
      </c>
      <c r="E58" s="2" t="s">
        <v>615</v>
      </c>
      <c r="F58" s="2" t="s">
        <v>685</v>
      </c>
      <c r="G58" s="2" t="s">
        <v>1142</v>
      </c>
      <c r="H58" s="2" t="s">
        <v>618</v>
      </c>
      <c r="I58" s="2" t="s">
        <v>53</v>
      </c>
      <c r="J58" s="2" t="s">
        <v>1143</v>
      </c>
      <c r="K58" s="2" t="s">
        <v>76</v>
      </c>
      <c r="L58" s="2" t="s">
        <v>1144</v>
      </c>
      <c r="M58" s="2" t="s">
        <v>621</v>
      </c>
      <c r="N58" s="2" t="s">
        <v>1145</v>
      </c>
      <c r="O58" s="2" t="s">
        <v>623</v>
      </c>
      <c r="P58" s="2" t="s">
        <v>1146</v>
      </c>
      <c r="Q58" s="2" t="s">
        <v>106</v>
      </c>
      <c r="R58" s="2" t="s">
        <v>110</v>
      </c>
      <c r="S58" s="2" t="s">
        <v>829</v>
      </c>
      <c r="T58" s="2" t="s">
        <v>623</v>
      </c>
      <c r="U58" s="2" t="s">
        <v>1147</v>
      </c>
      <c r="W58" s="2" t="str">
        <f>VLOOKUP(R58,Sheet1!$C:$D,2,0)</f>
        <v>TRANGHT28</v>
      </c>
    </row>
    <row r="59" spans="1:23" x14ac:dyDescent="0.25">
      <c r="A59" s="2" t="s">
        <v>1148</v>
      </c>
      <c r="B59" s="2" t="s">
        <v>613</v>
      </c>
      <c r="C59" s="2" t="s">
        <v>38</v>
      </c>
      <c r="D59" s="2" t="s">
        <v>1149</v>
      </c>
      <c r="E59" s="2" t="s">
        <v>615</v>
      </c>
      <c r="F59" s="2" t="s">
        <v>852</v>
      </c>
      <c r="G59" s="2" t="s">
        <v>1150</v>
      </c>
      <c r="H59" s="2" t="s">
        <v>618</v>
      </c>
      <c r="I59" s="2" t="s">
        <v>53</v>
      </c>
      <c r="J59" s="2" t="s">
        <v>1151</v>
      </c>
      <c r="K59" s="2" t="s">
        <v>76</v>
      </c>
      <c r="L59" s="2" t="s">
        <v>1152</v>
      </c>
      <c r="M59" s="2" t="s">
        <v>621</v>
      </c>
      <c r="N59" s="2" t="s">
        <v>1153</v>
      </c>
      <c r="O59" s="2" t="s">
        <v>623</v>
      </c>
      <c r="P59" s="2" t="s">
        <v>1154</v>
      </c>
      <c r="Q59" s="2" t="s">
        <v>69</v>
      </c>
      <c r="R59" s="2" t="s">
        <v>390</v>
      </c>
      <c r="S59" s="2" t="s">
        <v>829</v>
      </c>
      <c r="T59" s="2" t="s">
        <v>623</v>
      </c>
      <c r="U59" s="2" t="s">
        <v>1155</v>
      </c>
      <c r="V59" s="2" t="s">
        <v>1156</v>
      </c>
      <c r="W59" s="2" t="str">
        <f>VLOOKUP(R59,Sheet1!$C:$D,2,0)</f>
        <v>HUONGTT33</v>
      </c>
    </row>
    <row r="60" spans="1:23" x14ac:dyDescent="0.25">
      <c r="A60" s="2" t="s">
        <v>1157</v>
      </c>
      <c r="B60" s="2" t="s">
        <v>613</v>
      </c>
      <c r="C60" s="2" t="s">
        <v>38</v>
      </c>
      <c r="D60" s="2" t="s">
        <v>1158</v>
      </c>
      <c r="E60" s="2" t="s">
        <v>615</v>
      </c>
      <c r="F60" s="2" t="s">
        <v>861</v>
      </c>
      <c r="G60" s="2" t="s">
        <v>1159</v>
      </c>
      <c r="H60" s="2" t="s">
        <v>618</v>
      </c>
      <c r="I60" s="2" t="s">
        <v>53</v>
      </c>
      <c r="J60" s="2" t="s">
        <v>1160</v>
      </c>
      <c r="K60" s="2" t="s">
        <v>643</v>
      </c>
      <c r="L60" s="2" t="s">
        <v>1161</v>
      </c>
      <c r="M60" s="2" t="s">
        <v>944</v>
      </c>
      <c r="N60" s="2" t="s">
        <v>1162</v>
      </c>
      <c r="O60" s="2" t="s">
        <v>623</v>
      </c>
      <c r="P60" s="2" t="s">
        <v>1163</v>
      </c>
      <c r="Q60" s="2" t="s">
        <v>69</v>
      </c>
      <c r="R60" s="2" t="s">
        <v>102</v>
      </c>
      <c r="S60" s="2" t="s">
        <v>669</v>
      </c>
      <c r="T60" s="2" t="s">
        <v>623</v>
      </c>
      <c r="U60" s="2" t="s">
        <v>1164</v>
      </c>
      <c r="W60" s="2" t="str">
        <f>VLOOKUP(R60,Sheet1!$C:$D,2,0)</f>
        <v>HUONGTT33</v>
      </c>
    </row>
    <row r="61" spans="1:23" x14ac:dyDescent="0.25">
      <c r="A61" s="2" t="s">
        <v>1165</v>
      </c>
      <c r="B61" s="2" t="s">
        <v>613</v>
      </c>
      <c r="C61" s="2" t="s">
        <v>38</v>
      </c>
      <c r="D61" s="2" t="s">
        <v>1166</v>
      </c>
      <c r="E61" s="2" t="s">
        <v>615</v>
      </c>
      <c r="F61" s="2" t="s">
        <v>727</v>
      </c>
      <c r="G61" s="2" t="s">
        <v>1167</v>
      </c>
      <c r="H61" s="2" t="s">
        <v>618</v>
      </c>
      <c r="I61" s="2" t="s">
        <v>66</v>
      </c>
      <c r="J61" s="2" t="s">
        <v>1168</v>
      </c>
      <c r="K61" s="2" t="s">
        <v>76</v>
      </c>
      <c r="L61" s="2" t="s">
        <v>1169</v>
      </c>
      <c r="M61" s="2" t="s">
        <v>621</v>
      </c>
      <c r="N61" s="2" t="s">
        <v>1170</v>
      </c>
      <c r="O61" s="2" t="s">
        <v>623</v>
      </c>
      <c r="P61" s="2" t="s">
        <v>1067</v>
      </c>
      <c r="Q61" s="2" t="s">
        <v>40</v>
      </c>
      <c r="R61" s="2" t="s">
        <v>297</v>
      </c>
      <c r="S61" s="2" t="s">
        <v>680</v>
      </c>
      <c r="T61" s="2" t="s">
        <v>623</v>
      </c>
      <c r="U61" s="2" t="s">
        <v>1171</v>
      </c>
      <c r="W61" s="2" t="str">
        <f>VLOOKUP(R61,Sheet1!$C:$D,2,0)</f>
        <v>TRANGDTH35</v>
      </c>
    </row>
    <row r="62" spans="1:23" x14ac:dyDescent="0.25">
      <c r="A62" s="2" t="s">
        <v>1172</v>
      </c>
      <c r="B62" s="2" t="s">
        <v>613</v>
      </c>
      <c r="C62" s="2" t="s">
        <v>38</v>
      </c>
      <c r="D62" s="2" t="s">
        <v>1173</v>
      </c>
      <c r="E62" s="2" t="s">
        <v>615</v>
      </c>
      <c r="F62" s="2" t="s">
        <v>986</v>
      </c>
      <c r="G62" s="2" t="s">
        <v>1174</v>
      </c>
      <c r="H62" s="2" t="s">
        <v>618</v>
      </c>
      <c r="I62" s="2" t="s">
        <v>53</v>
      </c>
      <c r="J62" s="2" t="s">
        <v>1175</v>
      </c>
      <c r="K62" s="2" t="s">
        <v>76</v>
      </c>
      <c r="L62" s="2" t="s">
        <v>1176</v>
      </c>
      <c r="M62" s="2" t="s">
        <v>621</v>
      </c>
      <c r="N62" s="2" t="s">
        <v>1177</v>
      </c>
      <c r="O62" s="2" t="s">
        <v>623</v>
      </c>
      <c r="P62" s="2" t="s">
        <v>1031</v>
      </c>
      <c r="Q62" s="2" t="s">
        <v>121</v>
      </c>
      <c r="R62" s="2" t="s">
        <v>527</v>
      </c>
      <c r="S62" s="2" t="s">
        <v>657</v>
      </c>
      <c r="T62" s="2" t="s">
        <v>623</v>
      </c>
      <c r="U62" s="2" t="s">
        <v>1178</v>
      </c>
      <c r="W62" s="2" t="str">
        <f>VLOOKUP(R62,Sheet1!$C:$D,2,0)</f>
        <v>HUONGTT33</v>
      </c>
    </row>
    <row r="63" spans="1:23" x14ac:dyDescent="0.25">
      <c r="A63" s="2" t="s">
        <v>1179</v>
      </c>
      <c r="B63" s="2" t="s">
        <v>613</v>
      </c>
      <c r="C63" s="2" t="s">
        <v>38</v>
      </c>
      <c r="D63" s="2" t="s">
        <v>1180</v>
      </c>
      <c r="E63" s="2" t="s">
        <v>615</v>
      </c>
      <c r="F63" s="2" t="s">
        <v>1181</v>
      </c>
      <c r="G63" s="2" t="s">
        <v>1182</v>
      </c>
      <c r="H63" s="2" t="s">
        <v>618</v>
      </c>
      <c r="I63" s="2" t="s">
        <v>53</v>
      </c>
      <c r="J63" s="2" t="s">
        <v>1183</v>
      </c>
      <c r="K63" s="2" t="s">
        <v>76</v>
      </c>
      <c r="L63" s="2" t="s">
        <v>1184</v>
      </c>
      <c r="M63" s="2" t="s">
        <v>621</v>
      </c>
      <c r="N63" s="2" t="s">
        <v>1185</v>
      </c>
      <c r="O63" s="2" t="s">
        <v>623</v>
      </c>
      <c r="P63" s="2" t="s">
        <v>1186</v>
      </c>
      <c r="Q63" s="2" t="s">
        <v>150</v>
      </c>
      <c r="R63" s="2" t="s">
        <v>167</v>
      </c>
      <c r="S63" s="2" t="s">
        <v>848</v>
      </c>
      <c r="T63" s="2" t="s">
        <v>623</v>
      </c>
      <c r="U63" s="2" t="s">
        <v>1187</v>
      </c>
      <c r="W63" s="2" t="str">
        <f>VLOOKUP(R63,Sheet1!$C:$D,2,0)</f>
        <v>UYENHT15</v>
      </c>
    </row>
    <row r="64" spans="1:23" x14ac:dyDescent="0.25">
      <c r="A64" s="2" t="s">
        <v>1188</v>
      </c>
      <c r="B64" s="2" t="s">
        <v>613</v>
      </c>
      <c r="C64" s="2" t="s">
        <v>38</v>
      </c>
      <c r="D64" s="2" t="s">
        <v>1189</v>
      </c>
      <c r="E64" s="2" t="s">
        <v>615</v>
      </c>
      <c r="F64" s="2" t="s">
        <v>674</v>
      </c>
      <c r="G64" s="2" t="s">
        <v>1190</v>
      </c>
      <c r="H64" s="2" t="s">
        <v>618</v>
      </c>
      <c r="I64" s="2" t="s">
        <v>66</v>
      </c>
      <c r="J64" s="2" t="s">
        <v>1191</v>
      </c>
      <c r="K64" s="2" t="s">
        <v>76</v>
      </c>
      <c r="L64" s="2" t="s">
        <v>1192</v>
      </c>
      <c r="M64" s="2" t="s">
        <v>621</v>
      </c>
      <c r="N64" s="2" t="s">
        <v>1193</v>
      </c>
      <c r="O64" s="2" t="s">
        <v>623</v>
      </c>
      <c r="P64" s="2" t="s">
        <v>624</v>
      </c>
      <c r="Q64" s="2" t="s">
        <v>121</v>
      </c>
      <c r="R64" s="2" t="s">
        <v>126</v>
      </c>
      <c r="S64" s="2" t="s">
        <v>623</v>
      </c>
      <c r="T64" s="2" t="s">
        <v>680</v>
      </c>
      <c r="U64" s="2" t="s">
        <v>1194</v>
      </c>
      <c r="W64" s="2" t="str">
        <f>VLOOKUP(R64,Sheet1!$C:$D,2,0)</f>
        <v>UYENHT15</v>
      </c>
    </row>
    <row r="65" spans="1:23" x14ac:dyDescent="0.25">
      <c r="A65" s="2" t="s">
        <v>1195</v>
      </c>
      <c r="B65" s="2" t="s">
        <v>613</v>
      </c>
      <c r="C65" s="2" t="s">
        <v>38</v>
      </c>
      <c r="D65" s="2" t="s">
        <v>1196</v>
      </c>
      <c r="E65" s="2" t="s">
        <v>615</v>
      </c>
      <c r="F65" s="2" t="s">
        <v>986</v>
      </c>
      <c r="G65" s="2" t="s">
        <v>1197</v>
      </c>
      <c r="H65" s="2" t="s">
        <v>618</v>
      </c>
      <c r="I65" s="2" t="s">
        <v>66</v>
      </c>
      <c r="J65" s="2" t="s">
        <v>1198</v>
      </c>
      <c r="K65" s="2" t="s">
        <v>76</v>
      </c>
      <c r="L65" s="2" t="s">
        <v>1199</v>
      </c>
      <c r="M65" s="2" t="s">
        <v>621</v>
      </c>
      <c r="N65" s="2" t="s">
        <v>1200</v>
      </c>
      <c r="O65" s="2" t="s">
        <v>623</v>
      </c>
      <c r="P65" s="2" t="s">
        <v>741</v>
      </c>
      <c r="Q65" s="2" t="s">
        <v>121</v>
      </c>
      <c r="R65" s="2" t="s">
        <v>527</v>
      </c>
      <c r="S65" s="2" t="s">
        <v>732</v>
      </c>
      <c r="T65" s="2" t="s">
        <v>623</v>
      </c>
      <c r="U65" s="2" t="s">
        <v>1201</v>
      </c>
      <c r="V65" s="2" t="s">
        <v>1202</v>
      </c>
      <c r="W65" s="2" t="str">
        <f>VLOOKUP(R65,Sheet1!$C:$D,2,0)</f>
        <v>HUONGTT33</v>
      </c>
    </row>
    <row r="66" spans="1:23" x14ac:dyDescent="0.25">
      <c r="A66" s="2" t="s">
        <v>1203</v>
      </c>
      <c r="B66" s="2" t="s">
        <v>613</v>
      </c>
      <c r="C66" s="2" t="s">
        <v>38</v>
      </c>
      <c r="D66" s="2" t="s">
        <v>1204</v>
      </c>
      <c r="E66" s="2" t="s">
        <v>615</v>
      </c>
      <c r="F66" s="2" t="s">
        <v>1205</v>
      </c>
      <c r="G66" s="2" t="s">
        <v>1206</v>
      </c>
      <c r="H66" s="2" t="s">
        <v>618</v>
      </c>
      <c r="I66" s="2" t="s">
        <v>53</v>
      </c>
      <c r="J66" s="2" t="s">
        <v>1207</v>
      </c>
      <c r="K66" s="2" t="s">
        <v>632</v>
      </c>
      <c r="L66" s="2" t="s">
        <v>1208</v>
      </c>
      <c r="M66" s="2" t="s">
        <v>621</v>
      </c>
      <c r="N66" s="2" t="s">
        <v>1209</v>
      </c>
      <c r="O66" s="2" t="s">
        <v>623</v>
      </c>
      <c r="P66" s="2" t="s">
        <v>909</v>
      </c>
      <c r="Q66" s="2" t="s">
        <v>176</v>
      </c>
      <c r="R66" s="2" t="s">
        <v>238</v>
      </c>
      <c r="S66" s="2" t="s">
        <v>1210</v>
      </c>
      <c r="T66" s="2" t="s">
        <v>623</v>
      </c>
      <c r="U66" s="2" t="s">
        <v>1211</v>
      </c>
      <c r="W66" s="2" t="str">
        <f>VLOOKUP(R66,Sheet1!$C:$D,2,0)</f>
        <v>TRANGHT28</v>
      </c>
    </row>
    <row r="67" spans="1:23" x14ac:dyDescent="0.25">
      <c r="A67" s="2" t="s">
        <v>1212</v>
      </c>
      <c r="B67" s="2" t="s">
        <v>613</v>
      </c>
      <c r="C67" s="2" t="s">
        <v>38</v>
      </c>
      <c r="D67" s="2" t="s">
        <v>1213</v>
      </c>
      <c r="E67" s="2" t="s">
        <v>615</v>
      </c>
      <c r="F67" s="2" t="s">
        <v>1214</v>
      </c>
      <c r="G67" s="2" t="s">
        <v>1215</v>
      </c>
      <c r="H67" s="2" t="s">
        <v>618</v>
      </c>
      <c r="I67" s="2" t="s">
        <v>53</v>
      </c>
      <c r="J67" s="2" t="s">
        <v>1216</v>
      </c>
      <c r="K67" s="2" t="s">
        <v>76</v>
      </c>
      <c r="L67" s="2" t="s">
        <v>1217</v>
      </c>
      <c r="M67" s="2" t="s">
        <v>621</v>
      </c>
      <c r="N67" s="2" t="s">
        <v>1218</v>
      </c>
      <c r="O67" s="2" t="s">
        <v>623</v>
      </c>
      <c r="P67" s="2" t="s">
        <v>1219</v>
      </c>
      <c r="Q67" s="2" t="s">
        <v>81</v>
      </c>
      <c r="R67" s="2" t="s">
        <v>87</v>
      </c>
      <c r="S67" s="2" t="s">
        <v>829</v>
      </c>
      <c r="T67" s="2" t="s">
        <v>623</v>
      </c>
      <c r="U67" s="2" t="s">
        <v>1220</v>
      </c>
      <c r="W67" s="2" t="str">
        <f>VLOOKUP(R67,Sheet1!$C:$D,2,0)</f>
        <v>ANHHV15</v>
      </c>
    </row>
    <row r="68" spans="1:23" x14ac:dyDescent="0.25">
      <c r="A68" s="2" t="s">
        <v>1221</v>
      </c>
      <c r="B68" s="2" t="s">
        <v>613</v>
      </c>
      <c r="C68" s="2" t="s">
        <v>38</v>
      </c>
      <c r="D68" s="2" t="s">
        <v>1222</v>
      </c>
      <c r="E68" s="2" t="s">
        <v>615</v>
      </c>
      <c r="F68" s="2" t="s">
        <v>121</v>
      </c>
      <c r="G68" s="2" t="s">
        <v>1223</v>
      </c>
      <c r="H68" s="2" t="s">
        <v>618</v>
      </c>
      <c r="I68" s="2" t="s">
        <v>53</v>
      </c>
      <c r="J68" s="2" t="s">
        <v>1224</v>
      </c>
      <c r="K68" s="2" t="s">
        <v>76</v>
      </c>
      <c r="L68" s="2" t="s">
        <v>1225</v>
      </c>
      <c r="M68" s="2" t="s">
        <v>621</v>
      </c>
      <c r="N68" s="2" t="s">
        <v>1226</v>
      </c>
      <c r="O68" s="2" t="s">
        <v>623</v>
      </c>
      <c r="P68" s="2" t="s">
        <v>741</v>
      </c>
      <c r="Q68" s="2" t="s">
        <v>121</v>
      </c>
      <c r="R68" s="2" t="s">
        <v>487</v>
      </c>
      <c r="S68" s="2" t="s">
        <v>623</v>
      </c>
      <c r="T68" s="2" t="s">
        <v>669</v>
      </c>
      <c r="U68" s="2" t="s">
        <v>1227</v>
      </c>
      <c r="W68" s="2" t="str">
        <f>VLOOKUP(R68,Sheet1!$C:$D,2,0)</f>
        <v>HUONGTT33</v>
      </c>
    </row>
    <row r="69" spans="1:23" x14ac:dyDescent="0.25">
      <c r="A69" s="2" t="s">
        <v>1228</v>
      </c>
      <c r="B69" s="2" t="s">
        <v>613</v>
      </c>
      <c r="C69" s="2" t="s">
        <v>38</v>
      </c>
      <c r="D69" s="2" t="s">
        <v>1229</v>
      </c>
      <c r="E69" s="2" t="s">
        <v>615</v>
      </c>
      <c r="F69" s="2" t="s">
        <v>121</v>
      </c>
      <c r="G69" s="2" t="s">
        <v>1230</v>
      </c>
      <c r="H69" s="2" t="s">
        <v>618</v>
      </c>
      <c r="I69" s="2" t="s">
        <v>66</v>
      </c>
      <c r="J69" s="2" t="s">
        <v>1231</v>
      </c>
      <c r="K69" s="2" t="s">
        <v>76</v>
      </c>
      <c r="L69" s="2" t="s">
        <v>1232</v>
      </c>
      <c r="M69" s="2" t="s">
        <v>621</v>
      </c>
      <c r="N69" s="2" t="s">
        <v>1226</v>
      </c>
      <c r="O69" s="2" t="s">
        <v>623</v>
      </c>
      <c r="P69" s="2" t="s">
        <v>741</v>
      </c>
      <c r="Q69" s="2" t="s">
        <v>121</v>
      </c>
      <c r="R69" s="2" t="s">
        <v>379</v>
      </c>
      <c r="S69" s="2" t="s">
        <v>691</v>
      </c>
      <c r="T69" s="2" t="s">
        <v>623</v>
      </c>
      <c r="U69" s="2" t="s">
        <v>1233</v>
      </c>
      <c r="W69" s="2" t="str">
        <f>VLOOKUP(R69,Sheet1!$C:$D,2,0)</f>
        <v>HUONGTT33</v>
      </c>
    </row>
    <row r="70" spans="1:23" x14ac:dyDescent="0.25">
      <c r="A70" s="2" t="s">
        <v>1234</v>
      </c>
      <c r="B70" s="2" t="s">
        <v>613</v>
      </c>
      <c r="C70" s="2" t="s">
        <v>38</v>
      </c>
      <c r="D70" s="2" t="s">
        <v>1235</v>
      </c>
      <c r="E70" s="2" t="s">
        <v>615</v>
      </c>
      <c r="F70" s="2" t="s">
        <v>852</v>
      </c>
      <c r="G70" s="2" t="s">
        <v>1236</v>
      </c>
      <c r="H70" s="2" t="s">
        <v>618</v>
      </c>
      <c r="I70" s="2" t="s">
        <v>66</v>
      </c>
      <c r="J70" s="2" t="s">
        <v>1237</v>
      </c>
      <c r="K70" s="2" t="s">
        <v>76</v>
      </c>
      <c r="L70" s="2" t="s">
        <v>1238</v>
      </c>
      <c r="M70" s="2" t="s">
        <v>621</v>
      </c>
      <c r="N70" s="2" t="s">
        <v>1239</v>
      </c>
      <c r="O70" s="2" t="s">
        <v>623</v>
      </c>
      <c r="P70" s="2" t="s">
        <v>1240</v>
      </c>
      <c r="Q70" s="2" t="s">
        <v>259</v>
      </c>
      <c r="R70" s="2" t="s">
        <v>374</v>
      </c>
      <c r="S70" s="2" t="s">
        <v>691</v>
      </c>
      <c r="T70" s="2" t="s">
        <v>623</v>
      </c>
      <c r="U70" s="2" t="s">
        <v>1241</v>
      </c>
      <c r="W70" s="2" t="str">
        <f>VLOOKUP(R70,Sheet1!$C:$D,2,0)</f>
        <v>HUONGTT33</v>
      </c>
    </row>
    <row r="71" spans="1:23" x14ac:dyDescent="0.25">
      <c r="A71" s="2" t="s">
        <v>1242</v>
      </c>
      <c r="B71" s="2" t="s">
        <v>613</v>
      </c>
      <c r="C71" s="2" t="s">
        <v>38</v>
      </c>
      <c r="D71" s="2" t="s">
        <v>1243</v>
      </c>
      <c r="E71" s="2" t="s">
        <v>615</v>
      </c>
      <c r="F71" s="2" t="s">
        <v>1244</v>
      </c>
      <c r="G71" s="2" t="s">
        <v>1245</v>
      </c>
      <c r="H71" s="2" t="s">
        <v>618</v>
      </c>
      <c r="I71" s="2" t="s">
        <v>53</v>
      </c>
      <c r="J71" s="2" t="s">
        <v>1246</v>
      </c>
      <c r="K71" s="2" t="s">
        <v>76</v>
      </c>
      <c r="L71" s="2" t="s">
        <v>1247</v>
      </c>
      <c r="M71" s="2" t="s">
        <v>621</v>
      </c>
      <c r="N71" s="2" t="s">
        <v>1248</v>
      </c>
      <c r="O71" s="2" t="s">
        <v>623</v>
      </c>
      <c r="P71" s="2" t="s">
        <v>1095</v>
      </c>
      <c r="Q71" s="2" t="s">
        <v>136</v>
      </c>
      <c r="R71" s="2" t="s">
        <v>140</v>
      </c>
      <c r="S71" s="2" t="s">
        <v>669</v>
      </c>
      <c r="T71" s="2" t="s">
        <v>623</v>
      </c>
      <c r="U71" s="2" t="s">
        <v>1249</v>
      </c>
      <c r="W71" s="2" t="str">
        <f>VLOOKUP(R71,Sheet1!$C:$D,2,0)</f>
        <v>TAMVTT5</v>
      </c>
    </row>
    <row r="72" spans="1:23" x14ac:dyDescent="0.25">
      <c r="A72" s="2" t="s">
        <v>1250</v>
      </c>
      <c r="B72" s="2" t="s">
        <v>613</v>
      </c>
      <c r="C72" s="2" t="s">
        <v>38</v>
      </c>
      <c r="D72" s="2" t="s">
        <v>1251</v>
      </c>
      <c r="E72" s="2" t="s">
        <v>615</v>
      </c>
      <c r="F72" s="2" t="s">
        <v>1090</v>
      </c>
      <c r="G72" s="2" t="s">
        <v>1252</v>
      </c>
      <c r="H72" s="2" t="s">
        <v>618</v>
      </c>
      <c r="I72" s="2" t="s">
        <v>66</v>
      </c>
      <c r="J72" s="2" t="s">
        <v>1253</v>
      </c>
      <c r="K72" s="2" t="s">
        <v>632</v>
      </c>
      <c r="L72" s="2" t="s">
        <v>1254</v>
      </c>
      <c r="M72" s="2" t="s">
        <v>666</v>
      </c>
      <c r="N72" s="2" t="s">
        <v>1255</v>
      </c>
      <c r="O72" s="2" t="s">
        <v>623</v>
      </c>
      <c r="P72" s="2" t="s">
        <v>1256</v>
      </c>
      <c r="Q72" s="2" t="s">
        <v>246</v>
      </c>
      <c r="R72" s="2" t="s">
        <v>347</v>
      </c>
      <c r="S72" s="2" t="s">
        <v>669</v>
      </c>
      <c r="T72" s="2" t="s">
        <v>623</v>
      </c>
      <c r="U72" s="2" t="s">
        <v>1257</v>
      </c>
      <c r="W72" s="2" t="str">
        <f>VLOOKUP(R72,Sheet1!$C:$D,2,0)</f>
        <v>TQG.HANGVTT12</v>
      </c>
    </row>
    <row r="73" spans="1:23" x14ac:dyDescent="0.25">
      <c r="A73" s="2" t="s">
        <v>1258</v>
      </c>
      <c r="B73" s="2" t="s">
        <v>613</v>
      </c>
      <c r="C73" s="2" t="s">
        <v>38</v>
      </c>
      <c r="D73" s="2" t="s">
        <v>1259</v>
      </c>
      <c r="E73" s="2" t="s">
        <v>615</v>
      </c>
      <c r="F73" s="2" t="s">
        <v>121</v>
      </c>
      <c r="G73" s="2" t="s">
        <v>1260</v>
      </c>
      <c r="H73" s="2" t="s">
        <v>618</v>
      </c>
      <c r="I73" s="2" t="s">
        <v>53</v>
      </c>
      <c r="J73" s="2" t="s">
        <v>1261</v>
      </c>
      <c r="K73" s="2" t="s">
        <v>76</v>
      </c>
      <c r="L73" s="2" t="s">
        <v>1262</v>
      </c>
      <c r="M73" s="2" t="s">
        <v>621</v>
      </c>
      <c r="N73" s="2" t="s">
        <v>1226</v>
      </c>
      <c r="O73" s="2" t="s">
        <v>623</v>
      </c>
      <c r="P73" s="2" t="s">
        <v>1007</v>
      </c>
      <c r="Q73" s="2" t="s">
        <v>121</v>
      </c>
      <c r="R73" s="2" t="s">
        <v>487</v>
      </c>
      <c r="S73" s="2" t="s">
        <v>732</v>
      </c>
      <c r="T73" s="2" t="s">
        <v>623</v>
      </c>
      <c r="U73" s="2" t="s">
        <v>1263</v>
      </c>
      <c r="W73" s="2" t="str">
        <f>VLOOKUP(R73,Sheet1!$C:$D,2,0)</f>
        <v>HUONGTT33</v>
      </c>
    </row>
    <row r="74" spans="1:23" x14ac:dyDescent="0.25">
      <c r="A74" s="2" t="s">
        <v>1264</v>
      </c>
      <c r="B74" s="2" t="s">
        <v>613</v>
      </c>
      <c r="C74" s="2" t="s">
        <v>38</v>
      </c>
      <c r="D74" s="2" t="s">
        <v>1265</v>
      </c>
      <c r="E74" s="2" t="s">
        <v>615</v>
      </c>
      <c r="F74" s="2" t="s">
        <v>995</v>
      </c>
      <c r="G74" s="2" t="s">
        <v>1266</v>
      </c>
      <c r="H74" s="2" t="s">
        <v>618</v>
      </c>
      <c r="I74" s="2" t="s">
        <v>53</v>
      </c>
      <c r="J74" s="2" t="s">
        <v>1267</v>
      </c>
      <c r="K74" s="2" t="s">
        <v>76</v>
      </c>
      <c r="L74" s="2" t="s">
        <v>1268</v>
      </c>
      <c r="M74" s="2" t="s">
        <v>634</v>
      </c>
      <c r="N74" s="2" t="s">
        <v>1269</v>
      </c>
      <c r="O74" s="2" t="s">
        <v>623</v>
      </c>
      <c r="P74" s="2" t="s">
        <v>1270</v>
      </c>
      <c r="Q74" s="2" t="s">
        <v>246</v>
      </c>
      <c r="R74" s="2" t="s">
        <v>355</v>
      </c>
      <c r="S74" s="2" t="s">
        <v>1271</v>
      </c>
      <c r="T74" s="2" t="s">
        <v>623</v>
      </c>
      <c r="U74" s="2" t="s">
        <v>1272</v>
      </c>
      <c r="W74" s="2" t="str">
        <f>VLOOKUP(R74,Sheet1!$C:$D,2,0)</f>
        <v>LYHK7</v>
      </c>
    </row>
    <row r="75" spans="1:23" x14ac:dyDescent="0.25">
      <c r="A75" s="2" t="s">
        <v>1273</v>
      </c>
      <c r="B75" s="2" t="s">
        <v>613</v>
      </c>
      <c r="C75" s="2" t="s">
        <v>38</v>
      </c>
      <c r="D75" s="2" t="s">
        <v>1274</v>
      </c>
      <c r="E75" s="2" t="s">
        <v>615</v>
      </c>
      <c r="F75" s="2" t="s">
        <v>1205</v>
      </c>
      <c r="G75" s="2" t="s">
        <v>1275</v>
      </c>
      <c r="H75" s="2" t="s">
        <v>618</v>
      </c>
      <c r="I75" s="2" t="s">
        <v>53</v>
      </c>
      <c r="J75" s="2" t="s">
        <v>1276</v>
      </c>
      <c r="K75" s="2" t="s">
        <v>76</v>
      </c>
      <c r="L75" s="2" t="s">
        <v>1277</v>
      </c>
      <c r="M75" s="2" t="s">
        <v>621</v>
      </c>
      <c r="N75" s="2" t="s">
        <v>1278</v>
      </c>
      <c r="O75" s="2" t="s">
        <v>623</v>
      </c>
      <c r="P75" s="2" t="s">
        <v>656</v>
      </c>
      <c r="Q75" s="2" t="s">
        <v>176</v>
      </c>
      <c r="R75" s="2" t="s">
        <v>238</v>
      </c>
      <c r="S75" s="2" t="s">
        <v>691</v>
      </c>
      <c r="T75" s="2" t="s">
        <v>623</v>
      </c>
      <c r="U75" s="2" t="s">
        <v>1279</v>
      </c>
      <c r="W75" s="2" t="str">
        <f>VLOOKUP(R75,Sheet1!$C:$D,2,0)</f>
        <v>TRANGHT28</v>
      </c>
    </row>
    <row r="76" spans="1:23" x14ac:dyDescent="0.25">
      <c r="A76" s="2" t="s">
        <v>1280</v>
      </c>
      <c r="B76" s="2" t="s">
        <v>613</v>
      </c>
      <c r="C76" s="2" t="s">
        <v>38</v>
      </c>
      <c r="D76" s="2" t="s">
        <v>1281</v>
      </c>
      <c r="E76" s="2" t="s">
        <v>615</v>
      </c>
      <c r="F76" s="2" t="s">
        <v>861</v>
      </c>
      <c r="G76" s="2" t="s">
        <v>1282</v>
      </c>
      <c r="H76" s="2" t="s">
        <v>618</v>
      </c>
      <c r="I76" s="2" t="s">
        <v>53</v>
      </c>
      <c r="J76" s="2" t="s">
        <v>1283</v>
      </c>
      <c r="K76" s="2" t="s">
        <v>643</v>
      </c>
      <c r="L76" s="2" t="s">
        <v>1284</v>
      </c>
      <c r="M76" s="2" t="s">
        <v>621</v>
      </c>
      <c r="N76" s="2" t="s">
        <v>1285</v>
      </c>
      <c r="O76" s="2" t="s">
        <v>623</v>
      </c>
      <c r="P76" s="2" t="s">
        <v>1286</v>
      </c>
      <c r="Q76" s="2" t="s">
        <v>69</v>
      </c>
      <c r="R76" s="2" t="s">
        <v>75</v>
      </c>
      <c r="S76" s="2" t="s">
        <v>691</v>
      </c>
      <c r="T76" s="2" t="s">
        <v>623</v>
      </c>
      <c r="U76" s="2" t="s">
        <v>1287</v>
      </c>
      <c r="V76" s="2" t="s">
        <v>1288</v>
      </c>
      <c r="W76" s="2" t="str">
        <f>VLOOKUP(R76,Sheet1!$C:$D,2,0)</f>
        <v>ANHHV15</v>
      </c>
    </row>
    <row r="77" spans="1:23" x14ac:dyDescent="0.25">
      <c r="A77" s="2" t="s">
        <v>1289</v>
      </c>
      <c r="B77" s="2" t="s">
        <v>613</v>
      </c>
      <c r="C77" s="2" t="s">
        <v>38</v>
      </c>
      <c r="D77" s="2" t="s">
        <v>1290</v>
      </c>
      <c r="E77" s="2" t="s">
        <v>615</v>
      </c>
      <c r="F77" s="2" t="s">
        <v>150</v>
      </c>
      <c r="G77" s="2" t="s">
        <v>1291</v>
      </c>
      <c r="H77" s="2" t="s">
        <v>1292</v>
      </c>
      <c r="I77" s="2" t="s">
        <v>66</v>
      </c>
      <c r="J77" s="2" t="s">
        <v>1293</v>
      </c>
      <c r="K77" s="2" t="s">
        <v>643</v>
      </c>
      <c r="L77" s="2" t="s">
        <v>1294</v>
      </c>
      <c r="M77" s="2" t="s">
        <v>827</v>
      </c>
      <c r="O77" s="2" t="s">
        <v>623</v>
      </c>
      <c r="P77" s="2" t="s">
        <v>1295</v>
      </c>
      <c r="Q77" s="2" t="s">
        <v>150</v>
      </c>
      <c r="R77" s="2" t="s">
        <v>187</v>
      </c>
      <c r="S77" s="2" t="s">
        <v>829</v>
      </c>
      <c r="T77" s="2" t="s">
        <v>623</v>
      </c>
      <c r="U77" s="2" t="s">
        <v>1296</v>
      </c>
      <c r="V77" s="2" t="s">
        <v>1297</v>
      </c>
      <c r="W77" s="2" t="str">
        <f>VLOOKUP(R77,Sheet1!$C:$D,2,0)</f>
        <v>UYENHT15</v>
      </c>
    </row>
    <row r="78" spans="1:23" x14ac:dyDescent="0.25">
      <c r="A78" s="2" t="s">
        <v>1298</v>
      </c>
      <c r="B78" s="2" t="s">
        <v>613</v>
      </c>
      <c r="C78" s="2" t="s">
        <v>38</v>
      </c>
      <c r="D78" s="2" t="s">
        <v>1299</v>
      </c>
      <c r="E78" s="2" t="s">
        <v>615</v>
      </c>
      <c r="F78" s="2" t="s">
        <v>259</v>
      </c>
      <c r="G78" s="2" t="s">
        <v>1300</v>
      </c>
      <c r="H78" s="2" t="s">
        <v>1292</v>
      </c>
      <c r="I78" s="2" t="s">
        <v>66</v>
      </c>
      <c r="J78" s="2" t="s">
        <v>1301</v>
      </c>
      <c r="K78" s="2" t="s">
        <v>643</v>
      </c>
      <c r="L78" s="2" t="s">
        <v>1302</v>
      </c>
      <c r="M78" s="2" t="s">
        <v>827</v>
      </c>
      <c r="O78" s="2" t="s">
        <v>623</v>
      </c>
      <c r="P78" s="2" t="s">
        <v>1303</v>
      </c>
      <c r="Q78" s="2" t="s">
        <v>190</v>
      </c>
      <c r="R78" s="2" t="s">
        <v>194</v>
      </c>
      <c r="S78" s="2" t="s">
        <v>623</v>
      </c>
      <c r="T78" s="2" t="s">
        <v>623</v>
      </c>
      <c r="U78" s="2" t="s">
        <v>1304</v>
      </c>
      <c r="V78" s="2" t="s">
        <v>1305</v>
      </c>
      <c r="W78" s="2" t="str">
        <f>VLOOKUP(R78,Sheet1!$C:$D,2,0)</f>
        <v>TQG.HANGVTT12</v>
      </c>
    </row>
    <row r="79" spans="1:23" x14ac:dyDescent="0.25">
      <c r="A79" s="2" t="s">
        <v>1306</v>
      </c>
      <c r="B79" s="2" t="s">
        <v>613</v>
      </c>
      <c r="C79" s="2" t="s">
        <v>38</v>
      </c>
      <c r="D79" s="2" t="s">
        <v>1307</v>
      </c>
      <c r="E79" s="2" t="s">
        <v>615</v>
      </c>
      <c r="F79" s="2" t="s">
        <v>696</v>
      </c>
      <c r="G79" s="2" t="s">
        <v>1308</v>
      </c>
      <c r="H79" s="2" t="s">
        <v>618</v>
      </c>
      <c r="I79" s="2" t="s">
        <v>53</v>
      </c>
      <c r="J79" s="2" t="s">
        <v>1309</v>
      </c>
      <c r="K79" s="2" t="s">
        <v>76</v>
      </c>
      <c r="L79" s="2" t="s">
        <v>1310</v>
      </c>
      <c r="M79" s="2" t="s">
        <v>621</v>
      </c>
      <c r="N79" s="2" t="s">
        <v>1057</v>
      </c>
      <c r="O79" s="2" t="s">
        <v>623</v>
      </c>
      <c r="P79" s="2" t="s">
        <v>1186</v>
      </c>
      <c r="Q79" s="2" t="s">
        <v>150</v>
      </c>
      <c r="R79" s="2" t="s">
        <v>154</v>
      </c>
      <c r="S79" s="2" t="s">
        <v>829</v>
      </c>
      <c r="T79" s="2" t="s">
        <v>623</v>
      </c>
      <c r="U79" s="2" t="s">
        <v>1311</v>
      </c>
      <c r="W79" s="2" t="str">
        <f>VLOOKUP(R79,Sheet1!$C:$D,2,0)</f>
        <v>UYENHT15</v>
      </c>
    </row>
    <row r="80" spans="1:23" x14ac:dyDescent="0.25">
      <c r="A80" s="2" t="s">
        <v>1312</v>
      </c>
      <c r="B80" s="2" t="s">
        <v>613</v>
      </c>
      <c r="C80" s="2" t="s">
        <v>38</v>
      </c>
      <c r="D80" s="2" t="s">
        <v>1313</v>
      </c>
      <c r="E80" s="2" t="s">
        <v>615</v>
      </c>
      <c r="F80" s="2" t="s">
        <v>1044</v>
      </c>
      <c r="G80" s="2" t="s">
        <v>1314</v>
      </c>
      <c r="H80" s="2" t="s">
        <v>618</v>
      </c>
      <c r="I80" s="2" t="s">
        <v>66</v>
      </c>
      <c r="J80" s="2" t="s">
        <v>1315</v>
      </c>
      <c r="K80" s="2" t="s">
        <v>643</v>
      </c>
      <c r="L80" s="2" t="s">
        <v>1316</v>
      </c>
      <c r="M80" s="2" t="s">
        <v>621</v>
      </c>
      <c r="N80" s="2" t="s">
        <v>1317</v>
      </c>
      <c r="O80" s="2" t="s">
        <v>623</v>
      </c>
      <c r="P80" s="2" t="s">
        <v>769</v>
      </c>
      <c r="Q80" s="2" t="s">
        <v>150</v>
      </c>
      <c r="R80" s="2" t="s">
        <v>187</v>
      </c>
      <c r="S80" s="2" t="s">
        <v>732</v>
      </c>
      <c r="T80" s="2" t="s">
        <v>669</v>
      </c>
      <c r="U80" s="2" t="s">
        <v>1318</v>
      </c>
      <c r="W80" s="2" t="str">
        <f>VLOOKUP(R80,Sheet1!$C:$D,2,0)</f>
        <v>UYENHT15</v>
      </c>
    </row>
    <row r="81" spans="1:23" x14ac:dyDescent="0.25">
      <c r="A81" s="2" t="s">
        <v>1319</v>
      </c>
      <c r="B81" s="2" t="s">
        <v>613</v>
      </c>
      <c r="C81" s="2" t="s">
        <v>38</v>
      </c>
      <c r="D81" s="2" t="s">
        <v>1320</v>
      </c>
      <c r="E81" s="2" t="s">
        <v>615</v>
      </c>
      <c r="F81" s="2" t="s">
        <v>651</v>
      </c>
      <c r="G81" s="2" t="s">
        <v>1321</v>
      </c>
      <c r="H81" s="2" t="s">
        <v>618</v>
      </c>
      <c r="I81" s="2" t="s">
        <v>53</v>
      </c>
      <c r="J81" s="2" t="s">
        <v>1322</v>
      </c>
      <c r="K81" s="2" t="s">
        <v>643</v>
      </c>
      <c r="L81" s="2" t="s">
        <v>1323</v>
      </c>
      <c r="M81" s="2" t="s">
        <v>621</v>
      </c>
      <c r="N81" s="2" t="s">
        <v>1324</v>
      </c>
      <c r="O81" s="2" t="s">
        <v>623</v>
      </c>
      <c r="P81" s="2" t="s">
        <v>1325</v>
      </c>
      <c r="Q81" s="2" t="s">
        <v>176</v>
      </c>
      <c r="R81" s="2" t="s">
        <v>180</v>
      </c>
      <c r="S81" s="2" t="s">
        <v>691</v>
      </c>
      <c r="T81" s="2" t="s">
        <v>623</v>
      </c>
      <c r="U81" s="2" t="s">
        <v>1326</v>
      </c>
      <c r="W81" s="2" t="str">
        <f>VLOOKUP(R81,Sheet1!$C:$D,2,0)</f>
        <v>TRANGDTH35</v>
      </c>
    </row>
    <row r="82" spans="1:23" x14ac:dyDescent="0.25">
      <c r="A82" s="2" t="s">
        <v>1327</v>
      </c>
      <c r="B82" s="2" t="s">
        <v>613</v>
      </c>
      <c r="C82" s="2" t="s">
        <v>38</v>
      </c>
      <c r="D82" s="2" t="s">
        <v>1328</v>
      </c>
      <c r="E82" s="2" t="s">
        <v>615</v>
      </c>
      <c r="F82" s="2" t="s">
        <v>674</v>
      </c>
      <c r="G82" s="2" t="s">
        <v>1329</v>
      </c>
      <c r="H82" s="2" t="s">
        <v>618</v>
      </c>
      <c r="I82" s="2" t="s">
        <v>66</v>
      </c>
      <c r="J82" s="2" t="s">
        <v>1330</v>
      </c>
      <c r="K82" s="2" t="s">
        <v>76</v>
      </c>
      <c r="L82" s="2" t="s">
        <v>1331</v>
      </c>
      <c r="M82" s="2" t="s">
        <v>621</v>
      </c>
      <c r="N82" s="2" t="s">
        <v>1332</v>
      </c>
      <c r="O82" s="2" t="s">
        <v>623</v>
      </c>
      <c r="P82" s="2" t="s">
        <v>1186</v>
      </c>
      <c r="Q82" s="2" t="s">
        <v>121</v>
      </c>
      <c r="R82" s="2" t="s">
        <v>126</v>
      </c>
      <c r="S82" s="2" t="s">
        <v>691</v>
      </c>
      <c r="T82" s="2" t="s">
        <v>623</v>
      </c>
      <c r="U82" s="2" t="s">
        <v>1333</v>
      </c>
      <c r="W82" s="2" t="str">
        <f>VLOOKUP(R82,Sheet1!$C:$D,2,0)</f>
        <v>UYENHT15</v>
      </c>
    </row>
    <row r="83" spans="1:23" x14ac:dyDescent="0.25">
      <c r="A83" s="2" t="s">
        <v>1334</v>
      </c>
      <c r="B83" s="2" t="s">
        <v>613</v>
      </c>
      <c r="C83" s="2" t="s">
        <v>38</v>
      </c>
      <c r="D83" s="2" t="s">
        <v>1335</v>
      </c>
      <c r="E83" s="2" t="s">
        <v>615</v>
      </c>
      <c r="F83" s="2" t="s">
        <v>674</v>
      </c>
      <c r="G83" s="2" t="s">
        <v>1336</v>
      </c>
      <c r="H83" s="2" t="s">
        <v>618</v>
      </c>
      <c r="I83" s="2" t="s">
        <v>66</v>
      </c>
      <c r="J83" s="2" t="s">
        <v>1337</v>
      </c>
      <c r="K83" s="2" t="s">
        <v>643</v>
      </c>
      <c r="L83" s="2" t="s">
        <v>1338</v>
      </c>
      <c r="M83" s="2" t="s">
        <v>621</v>
      </c>
      <c r="N83" s="2" t="s">
        <v>1339</v>
      </c>
      <c r="O83" s="2" t="s">
        <v>623</v>
      </c>
      <c r="P83" s="2" t="s">
        <v>1186</v>
      </c>
      <c r="Q83" s="2" t="s">
        <v>121</v>
      </c>
      <c r="R83" s="2" t="s">
        <v>126</v>
      </c>
      <c r="S83" s="2" t="s">
        <v>829</v>
      </c>
      <c r="T83" s="2" t="s">
        <v>623</v>
      </c>
      <c r="U83" s="2" t="s">
        <v>1340</v>
      </c>
      <c r="W83" s="2" t="str">
        <f>VLOOKUP(R83,Sheet1!$C:$D,2,0)</f>
        <v>UYENHT15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0284B-2261-4241-9745-A89E85CA444F}">
  <dimension ref="A1:D35"/>
  <sheetViews>
    <sheetView workbookViewId="0">
      <selection activeCell="C13" sqref="C1:D35"/>
    </sheetView>
  </sheetViews>
  <sheetFormatPr defaultRowHeight="15" x14ac:dyDescent="0.25"/>
  <cols>
    <col min="1" max="1" width="14.5703125" bestFit="1" customWidth="1"/>
    <col min="3" max="3" width="18.140625" style="2" bestFit="1" customWidth="1"/>
    <col min="4" max="4" width="16" style="2" bestFit="1" customWidth="1"/>
  </cols>
  <sheetData>
    <row r="1" spans="1:4" x14ac:dyDescent="0.25">
      <c r="A1" t="s">
        <v>520</v>
      </c>
      <c r="C1" s="2" t="s">
        <v>523</v>
      </c>
      <c r="D1" s="2" t="s">
        <v>524</v>
      </c>
    </row>
    <row r="2" spans="1:4" x14ac:dyDescent="0.25">
      <c r="A2" t="s">
        <v>521</v>
      </c>
      <c r="C2" s="2" t="s">
        <v>263</v>
      </c>
      <c r="D2" s="2" t="s">
        <v>525</v>
      </c>
    </row>
    <row r="3" spans="1:4" x14ac:dyDescent="0.25">
      <c r="C3" s="2" t="s">
        <v>75</v>
      </c>
      <c r="D3" s="2" t="s">
        <v>525</v>
      </c>
    </row>
    <row r="4" spans="1:4" x14ac:dyDescent="0.25">
      <c r="C4" s="2" t="s">
        <v>87</v>
      </c>
      <c r="D4" s="2" t="s">
        <v>525</v>
      </c>
    </row>
    <row r="5" spans="1:4" x14ac:dyDescent="0.25">
      <c r="C5" s="2" t="s">
        <v>243</v>
      </c>
      <c r="D5" s="2" t="s">
        <v>525</v>
      </c>
    </row>
    <row r="6" spans="1:4" x14ac:dyDescent="0.25">
      <c r="C6" s="2" t="s">
        <v>374</v>
      </c>
      <c r="D6" s="2" t="s">
        <v>526</v>
      </c>
    </row>
    <row r="7" spans="1:4" x14ac:dyDescent="0.25">
      <c r="C7" s="2" t="s">
        <v>390</v>
      </c>
      <c r="D7" s="2" t="s">
        <v>526</v>
      </c>
    </row>
    <row r="8" spans="1:4" x14ac:dyDescent="0.25">
      <c r="C8" s="2" t="s">
        <v>102</v>
      </c>
      <c r="D8" s="2" t="s">
        <v>526</v>
      </c>
    </row>
    <row r="9" spans="1:4" x14ac:dyDescent="0.25">
      <c r="C9" s="2" t="s">
        <v>527</v>
      </c>
      <c r="D9" s="2" t="s">
        <v>526</v>
      </c>
    </row>
    <row r="10" spans="1:4" x14ac:dyDescent="0.25">
      <c r="C10" s="2" t="s">
        <v>487</v>
      </c>
      <c r="D10" s="2" t="s">
        <v>526</v>
      </c>
    </row>
    <row r="11" spans="1:4" x14ac:dyDescent="0.25">
      <c r="C11" s="2" t="s">
        <v>379</v>
      </c>
      <c r="D11" s="2" t="s">
        <v>526</v>
      </c>
    </row>
    <row r="12" spans="1:4" x14ac:dyDescent="0.25">
      <c r="C12" s="2" t="s">
        <v>475</v>
      </c>
      <c r="D12" s="2" t="s">
        <v>528</v>
      </c>
    </row>
    <row r="13" spans="1:4" x14ac:dyDescent="0.25">
      <c r="C13" s="2" t="s">
        <v>133</v>
      </c>
      <c r="D13" s="2" t="s">
        <v>528</v>
      </c>
    </row>
    <row r="14" spans="1:4" x14ac:dyDescent="0.25">
      <c r="C14" s="2" t="s">
        <v>355</v>
      </c>
      <c r="D14" s="2" t="s">
        <v>528</v>
      </c>
    </row>
    <row r="15" spans="1:4" x14ac:dyDescent="0.25">
      <c r="C15" s="2" t="s">
        <v>140</v>
      </c>
      <c r="D15" s="2" t="s">
        <v>529</v>
      </c>
    </row>
    <row r="16" spans="1:4" x14ac:dyDescent="0.25">
      <c r="C16" s="2" t="s">
        <v>208</v>
      </c>
      <c r="D16" s="2" t="s">
        <v>529</v>
      </c>
    </row>
    <row r="17" spans="3:4" x14ac:dyDescent="0.25">
      <c r="C17" s="2" t="s">
        <v>423</v>
      </c>
      <c r="D17" s="2" t="s">
        <v>529</v>
      </c>
    </row>
    <row r="18" spans="3:4" x14ac:dyDescent="0.25">
      <c r="C18" s="2" t="s">
        <v>239</v>
      </c>
      <c r="D18" s="2" t="s">
        <v>529</v>
      </c>
    </row>
    <row r="19" spans="3:4" x14ac:dyDescent="0.25">
      <c r="C19" s="2" t="s">
        <v>62</v>
      </c>
      <c r="D19" s="2" t="s">
        <v>530</v>
      </c>
    </row>
    <row r="20" spans="3:4" x14ac:dyDescent="0.25">
      <c r="C20" s="2" t="s">
        <v>347</v>
      </c>
      <c r="D20" s="2" t="s">
        <v>530</v>
      </c>
    </row>
    <row r="21" spans="3:4" x14ac:dyDescent="0.25">
      <c r="C21" s="2" t="s">
        <v>250</v>
      </c>
      <c r="D21" s="2" t="s">
        <v>530</v>
      </c>
    </row>
    <row r="22" spans="3:4" x14ac:dyDescent="0.25">
      <c r="C22" s="2" t="s">
        <v>194</v>
      </c>
      <c r="D22" s="2" t="s">
        <v>530</v>
      </c>
    </row>
    <row r="23" spans="3:4" x14ac:dyDescent="0.25">
      <c r="C23" s="2" t="s">
        <v>227</v>
      </c>
      <c r="D23" s="2" t="s">
        <v>531</v>
      </c>
    </row>
    <row r="24" spans="3:4" x14ac:dyDescent="0.25">
      <c r="C24" s="2" t="s">
        <v>230</v>
      </c>
      <c r="D24" s="2" t="s">
        <v>531</v>
      </c>
    </row>
    <row r="25" spans="3:4" x14ac:dyDescent="0.25">
      <c r="C25" s="2" t="s">
        <v>180</v>
      </c>
      <c r="D25" s="2" t="s">
        <v>531</v>
      </c>
    </row>
    <row r="26" spans="3:4" x14ac:dyDescent="0.25">
      <c r="C26" s="2" t="s">
        <v>297</v>
      </c>
      <c r="D26" s="2" t="s">
        <v>531</v>
      </c>
    </row>
    <row r="27" spans="3:4" x14ac:dyDescent="0.25">
      <c r="C27" s="2" t="s">
        <v>238</v>
      </c>
      <c r="D27" s="2" t="s">
        <v>532</v>
      </c>
    </row>
    <row r="28" spans="3:4" x14ac:dyDescent="0.25">
      <c r="C28" s="2" t="s">
        <v>110</v>
      </c>
      <c r="D28" s="2" t="s">
        <v>532</v>
      </c>
    </row>
    <row r="29" spans="3:4" x14ac:dyDescent="0.25">
      <c r="C29" s="2" t="s">
        <v>533</v>
      </c>
      <c r="D29" s="2" t="s">
        <v>532</v>
      </c>
    </row>
    <row r="30" spans="3:4" x14ac:dyDescent="0.25">
      <c r="C30" s="2" t="s">
        <v>48</v>
      </c>
      <c r="D30" s="2" t="s">
        <v>532</v>
      </c>
    </row>
    <row r="31" spans="3:4" x14ac:dyDescent="0.25">
      <c r="C31" s="2" t="s">
        <v>126</v>
      </c>
      <c r="D31" s="2" t="s">
        <v>534</v>
      </c>
    </row>
    <row r="32" spans="3:4" x14ac:dyDescent="0.25">
      <c r="C32" s="2" t="s">
        <v>187</v>
      </c>
      <c r="D32" s="2" t="s">
        <v>534</v>
      </c>
    </row>
    <row r="33" spans="3:4" x14ac:dyDescent="0.25">
      <c r="C33" s="2" t="s">
        <v>154</v>
      </c>
      <c r="D33" s="2" t="s">
        <v>534</v>
      </c>
    </row>
    <row r="34" spans="3:4" x14ac:dyDescent="0.25">
      <c r="C34" s="2" t="s">
        <v>290</v>
      </c>
      <c r="D34" s="2" t="s">
        <v>534</v>
      </c>
    </row>
    <row r="35" spans="3:4" x14ac:dyDescent="0.25">
      <c r="C35" s="2" t="s">
        <v>167</v>
      </c>
      <c r="D35" s="2" t="s">
        <v>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BT</vt:lpstr>
      <vt:lpstr>TK</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BangNC13</dc:creator>
  <cp:lastModifiedBy>Admin</cp:lastModifiedBy>
  <dcterms:created xsi:type="dcterms:W3CDTF">2026-09-24T03:43:23Z</dcterms:created>
  <dcterms:modified xsi:type="dcterms:W3CDTF">2026-09-24T06:30:04Z</dcterms:modified>
</cp:coreProperties>
</file>